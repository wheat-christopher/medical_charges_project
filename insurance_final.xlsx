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eat\Documents\"/>
    </mc:Choice>
  </mc:AlternateContent>
  <xr:revisionPtr revIDLastSave="0" documentId="8_{FE88278C-F21D-4987-8F3C-F2489D2BD227}" xr6:coauthVersionLast="47" xr6:coauthVersionMax="47" xr10:uidLastSave="{00000000-0000-0000-0000-000000000000}"/>
  <bookViews>
    <workbookView xWindow="-120" yWindow="-120" windowWidth="29040" windowHeight="15720" activeTab="1" xr2:uid="{CA629338-7A5E-45E8-B850-915A07834705}"/>
  </bookViews>
  <sheets>
    <sheet name="Regression" sheetId="9" r:id="rId1"/>
    <sheet name="Pivot Summary" sheetId="10" r:id="rId2"/>
    <sheet name="Correlation" sheetId="4" r:id="rId3"/>
    <sheet name="dim_BMI" sheetId="2" r:id="rId4"/>
    <sheet name="Sheet8" sheetId="12" r:id="rId5"/>
    <sheet name="insurance" sheetId="1" r:id="rId6"/>
  </sheets>
  <definedNames>
    <definedName name="_xlnm._FilterDatabase" localSheetId="2" hidden="1">Correlation!$A$1:$C$1</definedName>
    <definedName name="_xlnm._FilterDatabase" localSheetId="5" hidden="1">insurance!$A$1:$F$1339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39" i="1" l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9" i="4"/>
  <c r="C8" i="4"/>
  <c r="C10" i="4"/>
  <c r="C5" i="4"/>
  <c r="C2" i="4"/>
  <c r="C6" i="4"/>
  <c r="C4" i="4"/>
  <c r="C7" i="4"/>
  <c r="C3" i="4"/>
</calcChain>
</file>

<file path=xl/sharedStrings.xml><?xml version="1.0" encoding="utf-8"?>
<sst xmlns="http://schemas.openxmlformats.org/spreadsheetml/2006/main" count="4104" uniqueCount="73">
  <si>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</si>
  <si>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</si>
  <si>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</si>
  <si>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</si>
  <si>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</si>
  <si>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</si>
  <si>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</si>
  <si>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</si>
  <si>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</si>
  <si>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</si>
  <si>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</si>
  <si>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</si>
  <si>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</si>
  <si>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</si>
  <si>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</si>
  <si>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trial_ID</t>
  </si>
  <si>
    <t>Children</t>
  </si>
  <si>
    <t>Age</t>
  </si>
  <si>
    <t>Sex</t>
  </si>
  <si>
    <t>BMI</t>
  </si>
  <si>
    <t>Smoker</t>
  </si>
  <si>
    <t>Category</t>
  </si>
  <si>
    <t>r-squared</t>
  </si>
  <si>
    <t>r</t>
  </si>
  <si>
    <t>smoker(0/1)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</si>
  <si>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</si>
  <si>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</si>
  <si>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</si>
  <si>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</si>
  <si>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</si>
  <si>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</si>
  <si>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</si>
  <si>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</si>
  <si>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</si>
  <si>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</si>
  <si>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</si>
  <si>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</si>
  <si>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</si>
  <si>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</si>
  <si>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</si>
  <si>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</si>
  <si>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</si>
  <si>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</si>
  <si>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</si>
  <si>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</si>
  <si>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</si>
  <si>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</si>
  <si>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</si>
  <si>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</si>
  <si>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</si>
  <si>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</si>
  <si>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charges</t>
  </si>
  <si>
    <t>Residuals</t>
  </si>
  <si>
    <t>Row Labels</t>
  </si>
  <si>
    <t>Grand Total</t>
  </si>
  <si>
    <t>Sum of charges</t>
  </si>
  <si>
    <t>Count of trial_ID</t>
  </si>
  <si>
    <t>Column Labels</t>
  </si>
  <si>
    <t>Average of charges</t>
  </si>
  <si>
    <t>Sum of charges2</t>
  </si>
  <si>
    <t>Smoker?</t>
  </si>
  <si>
    <t>bmi_id</t>
  </si>
  <si>
    <t>adult_bmi_categories</t>
  </si>
  <si>
    <t>18.5 to 24.9 (Healthy Weight)</t>
  </si>
  <si>
    <t>25.0 to 29.9 (Overweight)</t>
  </si>
  <si>
    <t>30.0 to 34.9 (Obesity Class 1)</t>
  </si>
  <si>
    <t>40 or higher (Severe Obesity Class 3)</t>
  </si>
  <si>
    <t>highest_bmi</t>
  </si>
  <si>
    <t>18.49 or less (Underweight)</t>
  </si>
  <si>
    <t>bmi_category</t>
  </si>
  <si>
    <t>35 to 39.9 (Obesity Class 2)</t>
  </si>
  <si>
    <t>smoker_status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</si>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</sst>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16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[insurance_final.xlsx]Sheet8!PivotTable3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Sheet8!$A$5:$A$11</c:f>
              <c:strCache>
                <c:ptCount val="6"/>
                <c:pt idx="0">
                  <c:v>40 or higher (Severe Obesity Class 3)</c:v>
                </c:pt>
                <c:pt idx="1">
                  <c:v>35 to 39.9 (Obesity Class 2)</c:v>
                </c:pt>
                <c:pt idx="2">
                  <c:v>30.0 to 34.9 (Obesity Class 1)</c:v>
                </c:pt>
                <c:pt idx="3">
                  <c:v>25.0 to 29.9 (Overweight)</c:v>
                </c:pt>
                <c:pt idx="4">
                  <c:v>18.5 to 24.9 (Healthy Weight)</c:v>
                </c:pt>
                <c:pt idx="5">
                  <c:v>18.49 or less (Underweight)</c:v>
                </c:pt>
              </c:strCache>
            </c:strRef>
          </c:cat>
          <c:val>
            <c:numRef>
              <c:f>Sheet8!$B$5:$B$11</c:f>
              <c:numCache>
                <c:formatCode>General</c:formatCode>
                <c:ptCount val="6"/>
                <c:pt idx="0">
                  <c:v>8267.5562280555569</c:v>
                </c:pt>
                <c:pt idx="1">
                  <c:v>9621.2999058620626</c:v>
                </c:pt>
                <c:pt idx="2">
                  <c:v>8493.068879783279</c:v>
                </c:pt>
                <c:pt idx="3">
                  <c:v>8348.3679981785717</c:v>
                </c:pt>
                <c:pt idx="4">
                  <c:v>7599.6381306395351</c:v>
                </c:pt>
                <c:pt idx="5">
                  <c:v>5532.9924533333342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7-42A7-A1B5-6491AFC0D535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Sheet8!$A$5:$A$11</c:f>
              <c:strCache>
                <c:ptCount val="6"/>
                <c:pt idx="0">
                  <c:v>40 or higher (Severe Obesity Class 3)</c:v>
                </c:pt>
                <c:pt idx="1">
                  <c:v>35 to 39.9 (Obesity Class 2)</c:v>
                </c:pt>
                <c:pt idx="2">
                  <c:v>30.0 to 34.9 (Obesity Class 1)</c:v>
                </c:pt>
                <c:pt idx="3">
                  <c:v>25.0 to 29.9 (Overweight)</c:v>
                </c:pt>
                <c:pt idx="4">
                  <c:v>18.5 to 24.9 (Healthy Weight)</c:v>
                </c:pt>
                <c:pt idx="5">
                  <c:v>18.49 or less (Underweight)</c:v>
                </c:pt>
              </c:strCache>
            </c:strRef>
          </c:cat>
          <c:val>
            <c:numRef>
              <c:f>Sheet8!$C$5:$C$11</c:f>
              <c:numCache>
                <c:formatCode>General</c:formatCode>
                <c:ptCount val="6"/>
                <c:pt idx="0">
                  <c:v>45467.786145714286</c:v>
                </c:pt>
                <c:pt idx="1">
                  <c:v>42756.856970000001</c:v>
                </c:pt>
                <c:pt idx="2">
                  <c:v>39204.495822027042</c:v>
                </c:pt>
                <c:pt idx="3">
                  <c:v>22379.034063055562</c:v>
                </c:pt>
                <c:pt idx="4">
                  <c:v>19942.223641399996</c:v>
                </c:pt>
                <c:pt idx="5">
                  <c:v>18809.824979999998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97-42A7-A1B5-6491AFC0D5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36468288"/>
        <c:axId val="1934288"/>
      </c:barChart>
      <c:catAx>
        <c:axId val="1436468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288"/>
        <c:crosses val="autoZero"/>
        <c:auto val="1"/>
        <c:lblAlgn val="ctr"/>
        <c:lblOffset val="100"/>
        <c:noMultiLvlLbl val="0"/>
      </c:catAx>
      <c:valAx>
        <c:axId val="1934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46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742950</xdr:colOff>
      <xdr:row>1</xdr:row>
      <xdr:rowOff>152399</xdr:rowOff>
    </xdr:from>
    <xdr:to>
      <xdr:col>17</xdr:col>
      <xdr:colOff>0</xdr:colOff>
      <xdr:row>22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4C9E8-BBD8-F5A3-DACE-EDFFD7C5B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ire Ashlyn" refreshedDate="46300.508656828701" createdVersion="8" refreshedVersion="8" minRefreshableVersion="3" recordCount="1338" xr:uid="{3A9B8516-F05D-4960-9CC5-0BFD7D5624E3}">
  <cacheSource type="worksheet">
    <worksheetSource ref="A1:I1339" sheet="insurance"/>
  </cacheSource>
  <cacheFields count="9">
    <cacheField name="trial_ID" numFmtId="49">
      <sharedItems containsSemiMixedTypes="0" containsString="0" containsNumber="1" containsInteger="1" minValue="1" maxValue="1338"/>
    </cacheField>
    <cacheField name="age" numFmtId="0">
      <sharedItems containsSemiMixedTypes="0" containsString="0" containsNumber="1" containsInteger="1" minValue="18" maxValue="64"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(0/1)" numFmtId="0">
      <sharedItems containsSemiMixedTypes="0" containsString="0" containsNumber="1" containsInteger="1" minValue="0" maxValue="1"/>
    </cacheField>
    <cacheField name="charges" numFmtId="0">
      <sharedItems containsSemiMixedTypes="0" containsString="0" containsNumber="1" minValue="1121.8739" maxValue="63770.428010000003"/>
    </cacheField>
    <cacheField name="region" numFmtId="0">
      <sharedItems count="4">
        <s v="southeast"/>
        <s v="northeast"/>
        <s v="southwest"/>
        <s v="northwest"/>
      </sharedItems>
    </cacheField>
    <cacheField name="smoker" numFmtId="0">
      <sharedItems count="2">
        <s v="no"/>
        <s v="yes"/>
      </sharedItems>
    </cacheField>
    <cacheField name="sex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ire Ashlyn" refreshedDate="46301.323943750001" createdVersion="8" refreshedVersion="8" minRefreshableVersion="3" recordCount="1338" xr:uid="{23F865CF-A3B5-4E8B-A7F6-58904573259B}">
  <cacheSource type="worksheet">
    <worksheetSource ref="A1:K1339" sheet="insurance"/>
  </cacheSource>
  <cacheFields count="11">
    <cacheField name="trial_ID" numFmtId="49">
      <sharedItems containsSemiMixedTypes="0" containsString="0" containsNumber="1" containsInteger="1" minValue="1" maxValue="1338"/>
    </cacheField>
    <cacheField name="age" numFmtId="0">
      <sharedItems containsSemiMixedTypes="0" containsString="0" containsNumber="1" containsInteger="1" minValue="18" maxValue="64"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(0/1)" numFmtId="0">
      <sharedItems containsSemiMixedTypes="0" containsString="0" containsNumber="1" containsInteger="1" minValue="0" maxValue="1"/>
    </cacheField>
    <cacheField name="charges" numFmtId="0">
      <sharedItems containsSemiMixedTypes="0" containsString="0" containsNumber="1" minValue="1121.8739" maxValue="63770.428010000003"/>
    </cacheField>
    <cacheField name="region" numFmtId="0">
      <sharedItems/>
    </cacheField>
    <cacheField name="smoker" numFmtId="0">
      <sharedItems count="2">
        <s v="no"/>
        <s v="yes"/>
      </sharedItems>
    </cacheField>
    <cacheField name="sex" numFmtId="0">
      <sharedItems/>
    </cacheField>
    <cacheField name="bmi_id" numFmtId="0">
      <sharedItems containsSemiMixedTypes="0" containsString="0" containsNumber="1" containsInteger="1" minValue="1" maxValue="6"/>
    </cacheField>
    <cacheField name="bmi_category" numFmtId="0">
      <sharedItems count="7">
        <s v="30.0 to 34.9 (Obesity Class 1)"/>
        <s v="25.0 to 29.9 (Overweight)"/>
        <s v="35 to 39.9 (Obesity Class 2)"/>
        <s v="18.5 to 24.9 (Healthy Weight)"/>
        <s v="18.49 or less (Underweight)"/>
        <s v="40 or higher (Severe Obesity Class 3)"/>
        <s v="35.9 to 39.9 (Obesity Class 2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2"/>
    <n v="18"/>
    <n v="33.770000000000003"/>
    <n v="1"/>
    <n v="0"/>
    <n v="1725.5523000000001"/>
    <x v="0"/>
    <x v="0"/>
    <x v="0"/>
  </r>
  <r>
    <n v="23"/>
    <n v="18"/>
    <n v="34.1"/>
    <n v="0"/>
    <n v="0"/>
    <n v="1137.011"/>
    <x v="0"/>
    <x v="0"/>
    <x v="0"/>
  </r>
  <r>
    <n v="32"/>
    <n v="18"/>
    <n v="26.315000000000001"/>
    <n v="0"/>
    <n v="0"/>
    <n v="2198.1898500000002"/>
    <x v="1"/>
    <x v="0"/>
    <x v="1"/>
  </r>
  <r>
    <n v="47"/>
    <n v="18"/>
    <n v="38.664999999999999"/>
    <n v="2"/>
    <n v="0"/>
    <n v="3393.35635"/>
    <x v="1"/>
    <x v="0"/>
    <x v="1"/>
  </r>
  <r>
    <n v="51"/>
    <n v="18"/>
    <n v="35.625"/>
    <n v="0"/>
    <n v="0"/>
    <n v="2211.1307499999998"/>
    <x v="1"/>
    <x v="0"/>
    <x v="1"/>
  </r>
  <r>
    <n v="58"/>
    <n v="18"/>
    <n v="31.68"/>
    <n v="2"/>
    <n v="1"/>
    <n v="34303.167200000004"/>
    <x v="0"/>
    <x v="1"/>
    <x v="0"/>
  </r>
  <r>
    <n v="103"/>
    <n v="18"/>
    <n v="30.114999999999998"/>
    <n v="0"/>
    <n v="0"/>
    <n v="21344.846699999998"/>
    <x v="1"/>
    <x v="0"/>
    <x v="1"/>
  </r>
  <r>
    <n v="122"/>
    <n v="18"/>
    <n v="23.75"/>
    <n v="0"/>
    <n v="0"/>
    <n v="1705.6244999999999"/>
    <x v="1"/>
    <x v="0"/>
    <x v="0"/>
  </r>
  <r>
    <n v="158"/>
    <n v="18"/>
    <n v="25.175000000000001"/>
    <n v="0"/>
    <n v="1"/>
    <n v="15518.180249999999"/>
    <x v="1"/>
    <x v="1"/>
    <x v="0"/>
  </r>
  <r>
    <n v="162"/>
    <n v="18"/>
    <n v="36.85"/>
    <n v="0"/>
    <n v="1"/>
    <n v="36149.483500000002"/>
    <x v="0"/>
    <x v="1"/>
    <x v="1"/>
  </r>
  <r>
    <n v="173"/>
    <n v="18"/>
    <n v="15.96"/>
    <n v="0"/>
    <n v="0"/>
    <n v="1694.7963999999999"/>
    <x v="1"/>
    <x v="0"/>
    <x v="0"/>
  </r>
  <r>
    <n v="182"/>
    <n v="18"/>
    <n v="38.28"/>
    <n v="0"/>
    <n v="0"/>
    <n v="1631.8212000000001"/>
    <x v="0"/>
    <x v="0"/>
    <x v="1"/>
  </r>
  <r>
    <n v="195"/>
    <n v="18"/>
    <n v="34.43"/>
    <n v="0"/>
    <n v="0"/>
    <n v="1137.4697000000001"/>
    <x v="0"/>
    <x v="0"/>
    <x v="0"/>
  </r>
  <r>
    <n v="237"/>
    <n v="18"/>
    <n v="26.73"/>
    <n v="0"/>
    <n v="0"/>
    <n v="1615.7666999999999"/>
    <x v="0"/>
    <x v="0"/>
    <x v="1"/>
  </r>
  <r>
    <n v="251"/>
    <n v="18"/>
    <n v="17.29"/>
    <n v="2"/>
    <n v="1"/>
    <n v="12829.455099999999"/>
    <x v="1"/>
    <x v="1"/>
    <x v="0"/>
  </r>
  <r>
    <n v="271"/>
    <n v="18"/>
    <n v="29.37"/>
    <n v="1"/>
    <n v="0"/>
    <n v="1719.4363000000001"/>
    <x v="0"/>
    <x v="0"/>
    <x v="0"/>
  </r>
  <r>
    <n v="296"/>
    <n v="18"/>
    <n v="22.99"/>
    <n v="0"/>
    <n v="0"/>
    <n v="1704.5681"/>
    <x v="1"/>
    <x v="0"/>
    <x v="0"/>
  </r>
  <r>
    <n v="355"/>
    <n v="18"/>
    <n v="38.28"/>
    <n v="0"/>
    <n v="0"/>
    <n v="14133.03775"/>
    <x v="0"/>
    <x v="0"/>
    <x v="1"/>
  </r>
  <r>
    <n v="360"/>
    <n v="18"/>
    <n v="20.79"/>
    <n v="0"/>
    <n v="0"/>
    <n v="1607.5101"/>
    <x v="0"/>
    <x v="0"/>
    <x v="1"/>
  </r>
  <r>
    <n v="370"/>
    <n v="18"/>
    <n v="30.4"/>
    <n v="3"/>
    <n v="0"/>
    <n v="3481.8679999999999"/>
    <x v="1"/>
    <x v="0"/>
    <x v="0"/>
  </r>
  <r>
    <n v="400"/>
    <n v="18"/>
    <n v="38.17"/>
    <n v="0"/>
    <n v="0"/>
    <n v="1631.6683"/>
    <x v="0"/>
    <x v="0"/>
    <x v="1"/>
  </r>
  <r>
    <n v="428"/>
    <n v="18"/>
    <n v="29.164999999999999"/>
    <n v="0"/>
    <n v="0"/>
    <n v="7323.7348190000002"/>
    <x v="1"/>
    <x v="0"/>
    <x v="1"/>
  </r>
  <r>
    <n v="443"/>
    <n v="18"/>
    <n v="43.01"/>
    <n v="0"/>
    <n v="0"/>
    <n v="1149.3959"/>
    <x v="0"/>
    <x v="0"/>
    <x v="0"/>
  </r>
  <r>
    <n v="470"/>
    <n v="18"/>
    <n v="24.09"/>
    <n v="1"/>
    <n v="0"/>
    <n v="2201.0971"/>
    <x v="0"/>
    <x v="0"/>
    <x v="1"/>
  </r>
  <r>
    <n v="472"/>
    <n v="18"/>
    <n v="30.114999999999998"/>
    <n v="0"/>
    <n v="0"/>
    <n v="2203.4718499999999"/>
    <x v="1"/>
    <x v="0"/>
    <x v="1"/>
  </r>
  <r>
    <n v="483"/>
    <n v="18"/>
    <n v="31.35"/>
    <n v="0"/>
    <n v="0"/>
    <n v="1622.1885"/>
    <x v="0"/>
    <x v="0"/>
    <x v="1"/>
  </r>
  <r>
    <n v="493"/>
    <n v="18"/>
    <n v="25.08"/>
    <n v="0"/>
    <n v="0"/>
    <n v="2196.4731999999999"/>
    <x v="1"/>
    <x v="0"/>
    <x v="1"/>
  </r>
  <r>
    <n v="526"/>
    <n v="18"/>
    <n v="33.880000000000003"/>
    <n v="0"/>
    <n v="0"/>
    <n v="11482.63485"/>
    <x v="0"/>
    <x v="0"/>
    <x v="1"/>
  </r>
  <r>
    <n v="530"/>
    <n v="18"/>
    <n v="25.46"/>
    <n v="0"/>
    <n v="0"/>
    <n v="1708.0014000000001"/>
    <x v="1"/>
    <x v="0"/>
    <x v="0"/>
  </r>
  <r>
    <n v="565"/>
    <n v="18"/>
    <n v="32.119999999999997"/>
    <n v="2"/>
    <n v="0"/>
    <n v="2801.2588000000001"/>
    <x v="0"/>
    <x v="0"/>
    <x v="1"/>
  </r>
  <r>
    <n v="572"/>
    <n v="18"/>
    <n v="37.29"/>
    <n v="1"/>
    <n v="0"/>
    <n v="2219.4450999999999"/>
    <x v="0"/>
    <x v="0"/>
    <x v="1"/>
  </r>
  <r>
    <n v="601"/>
    <n v="18"/>
    <n v="39.159999999999997"/>
    <n v="0"/>
    <n v="0"/>
    <n v="1633.0444"/>
    <x v="0"/>
    <x v="0"/>
    <x v="1"/>
  </r>
  <r>
    <n v="613"/>
    <n v="18"/>
    <n v="33.155000000000001"/>
    <n v="0"/>
    <n v="0"/>
    <n v="2207.6974500000001"/>
    <x v="1"/>
    <x v="0"/>
    <x v="1"/>
  </r>
  <r>
    <n v="624"/>
    <n v="18"/>
    <n v="33.534999999999997"/>
    <n v="0"/>
    <n v="1"/>
    <n v="34617.840649999998"/>
    <x v="1"/>
    <x v="1"/>
    <x v="0"/>
  </r>
  <r>
    <n v="649"/>
    <n v="18"/>
    <n v="28.5"/>
    <n v="0"/>
    <n v="0"/>
    <n v="1712.2270000000001"/>
    <x v="1"/>
    <x v="0"/>
    <x v="0"/>
  </r>
  <r>
    <n v="664"/>
    <n v="18"/>
    <n v="33.659999999999997"/>
    <n v="0"/>
    <n v="0"/>
    <n v="1136.3994"/>
    <x v="0"/>
    <x v="0"/>
    <x v="0"/>
  </r>
  <r>
    <n v="711"/>
    <n v="18"/>
    <n v="35.200000000000003"/>
    <n v="1"/>
    <n v="0"/>
    <n v="1727.54"/>
    <x v="0"/>
    <x v="0"/>
    <x v="0"/>
  </r>
  <r>
    <n v="729"/>
    <n v="18"/>
    <n v="40.28"/>
    <n v="0"/>
    <n v="0"/>
    <n v="2217.6012000000001"/>
    <x v="1"/>
    <x v="0"/>
    <x v="1"/>
  </r>
  <r>
    <n v="760"/>
    <n v="18"/>
    <n v="38.17"/>
    <n v="0"/>
    <n v="1"/>
    <n v="36307.798300000002"/>
    <x v="0"/>
    <x v="1"/>
    <x v="0"/>
  </r>
  <r>
    <n v="782"/>
    <n v="18"/>
    <n v="41.14"/>
    <n v="0"/>
    <n v="0"/>
    <n v="1146.7965999999999"/>
    <x v="0"/>
    <x v="0"/>
    <x v="0"/>
  </r>
  <r>
    <n v="804"/>
    <n v="18"/>
    <n v="42.24"/>
    <n v="0"/>
    <n v="1"/>
    <n v="38792.685599999997"/>
    <x v="0"/>
    <x v="1"/>
    <x v="1"/>
  </r>
  <r>
    <n v="809"/>
    <n v="18"/>
    <n v="30.14"/>
    <n v="0"/>
    <n v="0"/>
    <n v="1131.5065999999999"/>
    <x v="0"/>
    <x v="0"/>
    <x v="0"/>
  </r>
  <r>
    <n v="823"/>
    <n v="18"/>
    <n v="31.13"/>
    <n v="0"/>
    <n v="0"/>
    <n v="1621.8827000000001"/>
    <x v="0"/>
    <x v="0"/>
    <x v="1"/>
  </r>
  <r>
    <n v="867"/>
    <n v="18"/>
    <n v="37.29"/>
    <n v="0"/>
    <n v="0"/>
    <n v="1141.4450999999999"/>
    <x v="0"/>
    <x v="0"/>
    <x v="0"/>
  </r>
  <r>
    <n v="899"/>
    <n v="18"/>
    <n v="40.26"/>
    <n v="0"/>
    <n v="0"/>
    <n v="1634.5734"/>
    <x v="0"/>
    <x v="0"/>
    <x v="1"/>
  </r>
  <r>
    <n v="912"/>
    <n v="18"/>
    <n v="31.73"/>
    <n v="0"/>
    <n v="1"/>
    <n v="33732.686699999998"/>
    <x v="1"/>
    <x v="1"/>
    <x v="0"/>
  </r>
  <r>
    <n v="939"/>
    <n v="18"/>
    <n v="26.18"/>
    <n v="2"/>
    <n v="0"/>
    <n v="2304.0021999999999"/>
    <x v="0"/>
    <x v="0"/>
    <x v="0"/>
  </r>
  <r>
    <n v="941"/>
    <n v="18"/>
    <n v="23.21"/>
    <n v="0"/>
    <n v="0"/>
    <n v="1121.8739"/>
    <x v="0"/>
    <x v="0"/>
    <x v="0"/>
  </r>
  <r>
    <n v="943"/>
    <n v="18"/>
    <n v="40.185000000000002"/>
    <n v="0"/>
    <n v="0"/>
    <n v="2217.4691499999999"/>
    <x v="1"/>
    <x v="0"/>
    <x v="1"/>
  </r>
  <r>
    <n v="1024"/>
    <n v="18"/>
    <n v="23.32"/>
    <n v="1"/>
    <n v="0"/>
    <n v="1711.0268000000001"/>
    <x v="0"/>
    <x v="0"/>
    <x v="0"/>
  </r>
  <r>
    <n v="1034"/>
    <n v="18"/>
    <n v="21.565000000000001"/>
    <n v="0"/>
    <n v="1"/>
    <n v="13747.87235"/>
    <x v="1"/>
    <x v="1"/>
    <x v="0"/>
  </r>
  <r>
    <n v="1042"/>
    <n v="18"/>
    <n v="23.085000000000001"/>
    <n v="0"/>
    <n v="0"/>
    <n v="1704.7001499999999"/>
    <x v="1"/>
    <x v="0"/>
    <x v="0"/>
  </r>
  <r>
    <n v="1081"/>
    <n v="18"/>
    <n v="21.78"/>
    <n v="2"/>
    <n v="0"/>
    <n v="11884.048580000001"/>
    <x v="0"/>
    <x v="0"/>
    <x v="0"/>
  </r>
  <r>
    <n v="1096"/>
    <n v="18"/>
    <n v="31.35"/>
    <n v="4"/>
    <n v="0"/>
    <n v="4561.1885000000002"/>
    <x v="1"/>
    <x v="0"/>
    <x v="1"/>
  </r>
  <r>
    <n v="1151"/>
    <n v="18"/>
    <n v="30.305"/>
    <n v="0"/>
    <n v="0"/>
    <n v="2203.7359499999998"/>
    <x v="1"/>
    <x v="0"/>
    <x v="1"/>
  </r>
  <r>
    <n v="1164"/>
    <n v="18"/>
    <n v="28.215"/>
    <n v="0"/>
    <n v="0"/>
    <n v="2200.8308499999998"/>
    <x v="1"/>
    <x v="0"/>
    <x v="1"/>
  </r>
  <r>
    <n v="1171"/>
    <n v="18"/>
    <n v="27.36"/>
    <n v="1"/>
    <n v="1"/>
    <n v="17178.682400000002"/>
    <x v="1"/>
    <x v="1"/>
    <x v="0"/>
  </r>
  <r>
    <n v="1205"/>
    <n v="18"/>
    <n v="27.28"/>
    <n v="3"/>
    <n v="1"/>
    <n v="18223.4512"/>
    <x v="0"/>
    <x v="1"/>
    <x v="1"/>
  </r>
  <r>
    <n v="1213"/>
    <n v="18"/>
    <n v="21.47"/>
    <n v="0"/>
    <n v="0"/>
    <n v="1702.4553000000001"/>
    <x v="1"/>
    <x v="0"/>
    <x v="0"/>
  </r>
  <r>
    <n v="1216"/>
    <n v="18"/>
    <n v="39.14"/>
    <n v="0"/>
    <n v="0"/>
    <n v="12890.057650000001"/>
    <x v="1"/>
    <x v="0"/>
    <x v="0"/>
  </r>
  <r>
    <n v="1245"/>
    <n v="18"/>
    <n v="33.33"/>
    <n v="0"/>
    <n v="0"/>
    <n v="1135.9407000000001"/>
    <x v="0"/>
    <x v="0"/>
    <x v="0"/>
  </r>
  <r>
    <n v="1249"/>
    <n v="18"/>
    <n v="39.82"/>
    <n v="0"/>
    <n v="0"/>
    <n v="1633.9618"/>
    <x v="0"/>
    <x v="0"/>
    <x v="1"/>
  </r>
  <r>
    <n v="1283"/>
    <n v="18"/>
    <n v="21.66"/>
    <n v="0"/>
    <n v="1"/>
    <n v="14283.4594"/>
    <x v="1"/>
    <x v="1"/>
    <x v="1"/>
  </r>
  <r>
    <n v="1284"/>
    <n v="18"/>
    <n v="30.03"/>
    <n v="1"/>
    <n v="0"/>
    <n v="1720.3536999999999"/>
    <x v="0"/>
    <x v="0"/>
    <x v="0"/>
  </r>
  <r>
    <n v="1297"/>
    <n v="18"/>
    <n v="26.125"/>
    <n v="0"/>
    <n v="0"/>
    <n v="1708.9257500000001"/>
    <x v="1"/>
    <x v="0"/>
    <x v="0"/>
  </r>
  <r>
    <n v="1316"/>
    <n v="18"/>
    <n v="28.31"/>
    <n v="1"/>
    <n v="0"/>
    <n v="11272.331389999999"/>
    <x v="1"/>
    <x v="0"/>
    <x v="0"/>
  </r>
  <r>
    <n v="1318"/>
    <n v="18"/>
    <n v="53.13"/>
    <n v="0"/>
    <n v="0"/>
    <n v="1163.4627"/>
    <x v="0"/>
    <x v="0"/>
    <x v="0"/>
  </r>
  <r>
    <n v="1335"/>
    <n v="18"/>
    <n v="31.92"/>
    <n v="0"/>
    <n v="0"/>
    <n v="2205.9807999999998"/>
    <x v="1"/>
    <x v="0"/>
    <x v="1"/>
  </r>
  <r>
    <n v="1336"/>
    <n v="18"/>
    <n v="36.85"/>
    <n v="0"/>
    <n v="0"/>
    <n v="1629.8335"/>
    <x v="0"/>
    <x v="0"/>
    <x v="1"/>
  </r>
  <r>
    <n v="1"/>
    <n v="19"/>
    <n v="27.9"/>
    <n v="0"/>
    <n v="1"/>
    <n v="16884.923999999999"/>
    <x v="2"/>
    <x v="1"/>
    <x v="1"/>
  </r>
  <r>
    <n v="16"/>
    <n v="19"/>
    <n v="24.6"/>
    <n v="1"/>
    <n v="0"/>
    <n v="1837.2370000000001"/>
    <x v="2"/>
    <x v="0"/>
    <x v="0"/>
  </r>
  <r>
    <n v="33"/>
    <n v="19"/>
    <n v="28.6"/>
    <n v="5"/>
    <n v="0"/>
    <n v="4687.7969999999996"/>
    <x v="2"/>
    <x v="0"/>
    <x v="1"/>
  </r>
  <r>
    <n v="36"/>
    <n v="19"/>
    <n v="20.425000000000001"/>
    <n v="0"/>
    <n v="0"/>
    <n v="1625.4337499999999"/>
    <x v="3"/>
    <x v="0"/>
    <x v="0"/>
  </r>
  <r>
    <n v="66"/>
    <n v="19"/>
    <n v="28.9"/>
    <n v="0"/>
    <n v="0"/>
    <n v="1743.2139999999999"/>
    <x v="2"/>
    <x v="0"/>
    <x v="1"/>
  </r>
  <r>
    <n v="107"/>
    <n v="19"/>
    <n v="28.4"/>
    <n v="1"/>
    <n v="0"/>
    <n v="2331.5189999999998"/>
    <x v="2"/>
    <x v="0"/>
    <x v="1"/>
  </r>
  <r>
    <n v="127"/>
    <n v="19"/>
    <n v="28.3"/>
    <n v="0"/>
    <n v="1"/>
    <n v="17081.080000000002"/>
    <x v="2"/>
    <x v="1"/>
    <x v="1"/>
  </r>
  <r>
    <n v="134"/>
    <n v="19"/>
    <n v="25.555"/>
    <n v="0"/>
    <n v="0"/>
    <n v="1632.5644500000001"/>
    <x v="3"/>
    <x v="0"/>
    <x v="0"/>
  </r>
  <r>
    <n v="137"/>
    <n v="19"/>
    <n v="34.1"/>
    <n v="0"/>
    <n v="0"/>
    <n v="1261.442"/>
    <x v="2"/>
    <x v="0"/>
    <x v="0"/>
  </r>
  <r>
    <n v="150"/>
    <n v="19"/>
    <n v="28.4"/>
    <n v="1"/>
    <n v="0"/>
    <n v="1842.519"/>
    <x v="2"/>
    <x v="0"/>
    <x v="0"/>
  </r>
  <r>
    <n v="169"/>
    <n v="19"/>
    <n v="31.824999999999999"/>
    <n v="1"/>
    <n v="0"/>
    <n v="2719.2797500000001"/>
    <x v="3"/>
    <x v="0"/>
    <x v="1"/>
  </r>
  <r>
    <n v="196"/>
    <n v="19"/>
    <n v="30.59"/>
    <n v="0"/>
    <n v="0"/>
    <n v="1639.5631000000001"/>
    <x v="3"/>
    <x v="0"/>
    <x v="0"/>
  </r>
  <r>
    <n v="201"/>
    <n v="19"/>
    <n v="32.11"/>
    <n v="0"/>
    <n v="0"/>
    <n v="2130.6759000000002"/>
    <x v="3"/>
    <x v="0"/>
    <x v="1"/>
  </r>
  <r>
    <n v="224"/>
    <n v="19"/>
    <n v="34.799999999999997"/>
    <n v="0"/>
    <n v="1"/>
    <n v="34779.614999999998"/>
    <x v="2"/>
    <x v="1"/>
    <x v="0"/>
  </r>
  <r>
    <n v="233"/>
    <n v="19"/>
    <n v="17.8"/>
    <n v="0"/>
    <n v="0"/>
    <n v="1727.7850000000001"/>
    <x v="2"/>
    <x v="0"/>
    <x v="1"/>
  </r>
  <r>
    <n v="239"/>
    <n v="19"/>
    <n v="29.07"/>
    <n v="0"/>
    <n v="1"/>
    <n v="17352.6803"/>
    <x v="3"/>
    <x v="1"/>
    <x v="0"/>
  </r>
  <r>
    <n v="249"/>
    <n v="19"/>
    <n v="20.9"/>
    <n v="1"/>
    <n v="0"/>
    <n v="1832.0940000000001"/>
    <x v="2"/>
    <x v="0"/>
    <x v="0"/>
  </r>
  <r>
    <n v="260"/>
    <n v="19"/>
    <n v="31.92"/>
    <n v="0"/>
    <n v="1"/>
    <n v="33750.291799999999"/>
    <x v="3"/>
    <x v="1"/>
    <x v="0"/>
  </r>
  <r>
    <n v="264"/>
    <n v="19"/>
    <n v="36.954999999999998"/>
    <n v="0"/>
    <n v="1"/>
    <n v="36219.405449999998"/>
    <x v="3"/>
    <x v="1"/>
    <x v="0"/>
  </r>
  <r>
    <n v="277"/>
    <n v="19"/>
    <n v="20.614999999999998"/>
    <n v="2"/>
    <n v="0"/>
    <n v="2803.69785"/>
    <x v="3"/>
    <x v="0"/>
    <x v="0"/>
  </r>
  <r>
    <n v="297"/>
    <n v="19"/>
    <n v="27.7"/>
    <n v="0"/>
    <n v="1"/>
    <n v="16297.846"/>
    <x v="2"/>
    <x v="1"/>
    <x v="0"/>
  </r>
  <r>
    <n v="312"/>
    <n v="19"/>
    <n v="24.7"/>
    <n v="0"/>
    <n v="0"/>
    <n v="1737.376"/>
    <x v="2"/>
    <x v="0"/>
    <x v="1"/>
  </r>
  <r>
    <n v="350"/>
    <n v="19"/>
    <n v="27.835000000000001"/>
    <n v="0"/>
    <n v="0"/>
    <n v="1635.7336499999999"/>
    <x v="3"/>
    <x v="0"/>
    <x v="0"/>
  </r>
  <r>
    <n v="363"/>
    <n v="19"/>
    <n v="21.7"/>
    <n v="0"/>
    <n v="1"/>
    <n v="13844.505999999999"/>
    <x v="2"/>
    <x v="1"/>
    <x v="1"/>
  </r>
  <r>
    <n v="386"/>
    <n v="19"/>
    <n v="34.4"/>
    <n v="0"/>
    <n v="0"/>
    <n v="1261.8589999999999"/>
    <x v="2"/>
    <x v="0"/>
    <x v="0"/>
  </r>
  <r>
    <n v="392"/>
    <n v="19"/>
    <n v="37.43"/>
    <n v="0"/>
    <n v="0"/>
    <n v="2138.0707000000002"/>
    <x v="3"/>
    <x v="0"/>
    <x v="1"/>
  </r>
  <r>
    <n v="411"/>
    <n v="19"/>
    <n v="17.48"/>
    <n v="0"/>
    <n v="0"/>
    <n v="1621.3402000000001"/>
    <x v="3"/>
    <x v="0"/>
    <x v="0"/>
  </r>
  <r>
    <n v="415"/>
    <n v="19"/>
    <n v="35.15"/>
    <n v="0"/>
    <n v="0"/>
    <n v="2134.9014999999999"/>
    <x v="3"/>
    <x v="0"/>
    <x v="1"/>
  </r>
  <r>
    <n v="431"/>
    <n v="19"/>
    <n v="33.1"/>
    <n v="0"/>
    <n v="0"/>
    <n v="23082.955330000001"/>
    <x v="2"/>
    <x v="0"/>
    <x v="0"/>
  </r>
  <r>
    <n v="465"/>
    <n v="19"/>
    <n v="25.175000000000001"/>
    <n v="0"/>
    <n v="0"/>
    <n v="1632.0362500000001"/>
    <x v="3"/>
    <x v="0"/>
    <x v="0"/>
  </r>
  <r>
    <n v="473"/>
    <n v="19"/>
    <n v="29.8"/>
    <n v="0"/>
    <n v="0"/>
    <n v="1744.4649999999999"/>
    <x v="2"/>
    <x v="0"/>
    <x v="1"/>
  </r>
  <r>
    <n v="488"/>
    <n v="19"/>
    <n v="28.7"/>
    <n v="0"/>
    <n v="0"/>
    <n v="1253.9359999999999"/>
    <x v="2"/>
    <x v="0"/>
    <x v="0"/>
  </r>
  <r>
    <n v="491"/>
    <n v="19"/>
    <n v="32.9"/>
    <n v="0"/>
    <n v="0"/>
    <n v="1748.7739999999999"/>
    <x v="2"/>
    <x v="0"/>
    <x v="1"/>
  </r>
  <r>
    <n v="504"/>
    <n v="19"/>
    <n v="30.25"/>
    <n v="0"/>
    <n v="1"/>
    <n v="32548.340499999998"/>
    <x v="0"/>
    <x v="1"/>
    <x v="0"/>
  </r>
  <r>
    <n v="514"/>
    <n v="19"/>
    <n v="30.4"/>
    <n v="0"/>
    <n v="0"/>
    <n v="1256.299"/>
    <x v="2"/>
    <x v="0"/>
    <x v="0"/>
  </r>
  <r>
    <n v="527"/>
    <n v="19"/>
    <n v="30.59"/>
    <n v="2"/>
    <n v="0"/>
    <n v="24059.680189999999"/>
    <x v="3"/>
    <x v="0"/>
    <x v="1"/>
  </r>
  <r>
    <n v="560"/>
    <n v="19"/>
    <n v="35.53"/>
    <n v="0"/>
    <n v="0"/>
    <n v="1646.4296999999999"/>
    <x v="3"/>
    <x v="0"/>
    <x v="0"/>
  </r>
  <r>
    <n v="566"/>
    <n v="19"/>
    <n v="30.495000000000001"/>
    <n v="0"/>
    <n v="0"/>
    <n v="2128.4310500000001"/>
    <x v="3"/>
    <x v="0"/>
    <x v="1"/>
  </r>
  <r>
    <n v="582"/>
    <n v="19"/>
    <n v="30.59"/>
    <n v="0"/>
    <n v="0"/>
    <n v="1639.5631000000001"/>
    <x v="3"/>
    <x v="0"/>
    <x v="0"/>
  </r>
  <r>
    <n v="585"/>
    <n v="19"/>
    <n v="20.7"/>
    <n v="0"/>
    <n v="0"/>
    <n v="1242.816"/>
    <x v="2"/>
    <x v="0"/>
    <x v="0"/>
  </r>
  <r>
    <n v="605"/>
    <n v="19"/>
    <n v="28.31"/>
    <n v="0"/>
    <n v="1"/>
    <n v="17468.983899999999"/>
    <x v="3"/>
    <x v="1"/>
    <x v="1"/>
  </r>
  <r>
    <n v="619"/>
    <n v="19"/>
    <n v="33.11"/>
    <n v="0"/>
    <n v="1"/>
    <n v="34439.855900000002"/>
    <x v="0"/>
    <x v="1"/>
    <x v="1"/>
  </r>
  <r>
    <n v="637"/>
    <n v="19"/>
    <n v="24.51"/>
    <n v="1"/>
    <n v="0"/>
    <n v="2709.1118999999999"/>
    <x v="3"/>
    <x v="0"/>
    <x v="1"/>
  </r>
  <r>
    <n v="682"/>
    <n v="19"/>
    <n v="20.3"/>
    <n v="0"/>
    <n v="0"/>
    <n v="1242.26"/>
    <x v="2"/>
    <x v="0"/>
    <x v="0"/>
  </r>
  <r>
    <n v="724"/>
    <n v="19"/>
    <n v="35.4"/>
    <n v="0"/>
    <n v="0"/>
    <n v="1263.249"/>
    <x v="2"/>
    <x v="0"/>
    <x v="0"/>
  </r>
  <r>
    <n v="748"/>
    <n v="19"/>
    <n v="21.754999999999999"/>
    <n v="0"/>
    <n v="0"/>
    <n v="1627.2824499999999"/>
    <x v="3"/>
    <x v="0"/>
    <x v="0"/>
  </r>
  <r>
    <n v="774"/>
    <n v="19"/>
    <n v="28.88"/>
    <n v="0"/>
    <n v="1"/>
    <n v="17748.5062"/>
    <x v="3"/>
    <x v="1"/>
    <x v="1"/>
  </r>
  <r>
    <n v="792"/>
    <n v="19"/>
    <n v="27.6"/>
    <n v="0"/>
    <n v="0"/>
    <n v="1252.4069999999999"/>
    <x v="2"/>
    <x v="0"/>
    <x v="0"/>
  </r>
  <r>
    <n v="808"/>
    <n v="19"/>
    <n v="36.575000000000003"/>
    <n v="0"/>
    <n v="0"/>
    <n v="2136.8822500000001"/>
    <x v="3"/>
    <x v="0"/>
    <x v="1"/>
  </r>
  <r>
    <n v="898"/>
    <n v="19"/>
    <n v="25.555"/>
    <n v="1"/>
    <n v="0"/>
    <n v="2221.5644499999999"/>
    <x v="3"/>
    <x v="0"/>
    <x v="0"/>
  </r>
  <r>
    <n v="900"/>
    <n v="19"/>
    <n v="22.515000000000001"/>
    <n v="0"/>
    <n v="0"/>
    <n v="2117.3388500000001"/>
    <x v="3"/>
    <x v="0"/>
    <x v="1"/>
  </r>
  <r>
    <n v="927"/>
    <n v="19"/>
    <n v="23.4"/>
    <n v="2"/>
    <n v="0"/>
    <n v="2913.569"/>
    <x v="2"/>
    <x v="0"/>
    <x v="1"/>
  </r>
  <r>
    <n v="944"/>
    <n v="19"/>
    <n v="22.61"/>
    <n v="0"/>
    <n v="0"/>
    <n v="1628.4709"/>
    <x v="3"/>
    <x v="0"/>
    <x v="0"/>
  </r>
  <r>
    <n v="961"/>
    <n v="19"/>
    <n v="39.615000000000002"/>
    <n v="1"/>
    <n v="0"/>
    <n v="2730.1078499999999"/>
    <x v="3"/>
    <x v="0"/>
    <x v="1"/>
  </r>
  <r>
    <n v="974"/>
    <n v="19"/>
    <n v="40.5"/>
    <n v="0"/>
    <n v="0"/>
    <n v="1759.338"/>
    <x v="2"/>
    <x v="0"/>
    <x v="1"/>
  </r>
  <r>
    <n v="1017"/>
    <n v="19"/>
    <n v="24.605"/>
    <n v="1"/>
    <n v="0"/>
    <n v="2709.24395"/>
    <x v="3"/>
    <x v="0"/>
    <x v="1"/>
  </r>
  <r>
    <n v="1027"/>
    <n v="19"/>
    <n v="26.03"/>
    <n v="1"/>
    <n v="1"/>
    <n v="16450.894700000001"/>
    <x v="3"/>
    <x v="1"/>
    <x v="0"/>
  </r>
  <r>
    <n v="1040"/>
    <n v="19"/>
    <n v="27.265000000000001"/>
    <n v="2"/>
    <n v="0"/>
    <n v="22493.659640000002"/>
    <x v="3"/>
    <x v="0"/>
    <x v="0"/>
  </r>
  <r>
    <n v="1130"/>
    <n v="19"/>
    <n v="18.600000000000001"/>
    <n v="0"/>
    <n v="0"/>
    <n v="1728.8969999999999"/>
    <x v="2"/>
    <x v="0"/>
    <x v="1"/>
  </r>
  <r>
    <n v="1140"/>
    <n v="19"/>
    <n v="32.49"/>
    <n v="0"/>
    <n v="1"/>
    <n v="36898.733079999998"/>
    <x v="3"/>
    <x v="1"/>
    <x v="1"/>
  </r>
  <r>
    <n v="1157"/>
    <n v="19"/>
    <n v="44.88"/>
    <n v="0"/>
    <n v="1"/>
    <n v="39722.746200000001"/>
    <x v="0"/>
    <x v="1"/>
    <x v="0"/>
  </r>
  <r>
    <n v="1196"/>
    <n v="19"/>
    <n v="27.93"/>
    <n v="3"/>
    <n v="0"/>
    <n v="18838.703659999999"/>
    <x v="3"/>
    <x v="0"/>
    <x v="1"/>
  </r>
  <r>
    <n v="1197"/>
    <n v="19"/>
    <n v="30.02"/>
    <n v="0"/>
    <n v="1"/>
    <n v="33307.550799999997"/>
    <x v="3"/>
    <x v="1"/>
    <x v="1"/>
  </r>
  <r>
    <n v="1252"/>
    <n v="19"/>
    <n v="19.8"/>
    <n v="0"/>
    <n v="0"/>
    <n v="1241.5650000000001"/>
    <x v="2"/>
    <x v="0"/>
    <x v="0"/>
  </r>
  <r>
    <n v="1292"/>
    <n v="19"/>
    <n v="34.9"/>
    <n v="0"/>
    <n v="1"/>
    <n v="34828.654000000002"/>
    <x v="2"/>
    <x v="1"/>
    <x v="0"/>
  </r>
  <r>
    <n v="1300"/>
    <n v="19"/>
    <n v="25.745000000000001"/>
    <n v="1"/>
    <n v="0"/>
    <n v="2710.8285500000002"/>
    <x v="3"/>
    <x v="0"/>
    <x v="1"/>
  </r>
  <r>
    <n v="1314"/>
    <n v="19"/>
    <n v="34.700000000000003"/>
    <n v="2"/>
    <n v="1"/>
    <n v="36397.576000000001"/>
    <x v="2"/>
    <x v="1"/>
    <x v="1"/>
  </r>
  <r>
    <n v="1317"/>
    <n v="19"/>
    <n v="20.6"/>
    <n v="0"/>
    <n v="0"/>
    <n v="1731.6769999999999"/>
    <x v="2"/>
    <x v="0"/>
    <x v="1"/>
  </r>
  <r>
    <n v="65"/>
    <n v="20"/>
    <n v="22.42"/>
    <n v="0"/>
    <n v="1"/>
    <n v="14711.7438"/>
    <x v="3"/>
    <x v="1"/>
    <x v="1"/>
  </r>
  <r>
    <n v="106"/>
    <n v="20"/>
    <n v="28.024999999999999"/>
    <n v="1"/>
    <n v="1"/>
    <n v="17560.37975"/>
    <x v="3"/>
    <x v="1"/>
    <x v="0"/>
  </r>
  <r>
    <n v="123"/>
    <n v="20"/>
    <n v="28.975000000000001"/>
    <n v="0"/>
    <n v="0"/>
    <n v="2257.47525"/>
    <x v="3"/>
    <x v="0"/>
    <x v="1"/>
  </r>
  <r>
    <n v="135"/>
    <n v="20"/>
    <n v="28.785"/>
    <n v="0"/>
    <n v="0"/>
    <n v="2457.2111500000001"/>
    <x v="1"/>
    <x v="0"/>
    <x v="1"/>
  </r>
  <r>
    <n v="167"/>
    <n v="20"/>
    <n v="37"/>
    <n v="5"/>
    <n v="0"/>
    <n v="4830.63"/>
    <x v="2"/>
    <x v="0"/>
    <x v="1"/>
  </r>
  <r>
    <n v="211"/>
    <n v="20"/>
    <n v="33"/>
    <n v="1"/>
    <n v="0"/>
    <n v="1980.07"/>
    <x v="2"/>
    <x v="0"/>
    <x v="0"/>
  </r>
  <r>
    <n v="262"/>
    <n v="20"/>
    <n v="26.84"/>
    <n v="1"/>
    <n v="1"/>
    <n v="17085.267599999999"/>
    <x v="0"/>
    <x v="1"/>
    <x v="1"/>
  </r>
  <r>
    <n v="375"/>
    <n v="20"/>
    <n v="33.33"/>
    <n v="0"/>
    <n v="0"/>
    <n v="1391.5287000000001"/>
    <x v="0"/>
    <x v="0"/>
    <x v="0"/>
  </r>
  <r>
    <n v="454"/>
    <n v="20"/>
    <n v="29.734999999999999"/>
    <n v="0"/>
    <n v="0"/>
    <n v="1769.5316499999999"/>
    <x v="3"/>
    <x v="0"/>
    <x v="0"/>
  </r>
  <r>
    <n v="496"/>
    <n v="20"/>
    <n v="27.93"/>
    <n v="0"/>
    <n v="0"/>
    <n v="1967.0227"/>
    <x v="1"/>
    <x v="0"/>
    <x v="0"/>
  </r>
  <r>
    <n v="517"/>
    <n v="20"/>
    <n v="35.31"/>
    <n v="1"/>
    <n v="0"/>
    <n v="27724.28875"/>
    <x v="0"/>
    <x v="0"/>
    <x v="0"/>
  </r>
  <r>
    <n v="542"/>
    <n v="20"/>
    <n v="31.79"/>
    <n v="2"/>
    <n v="0"/>
    <n v="3056.3881000000001"/>
    <x v="0"/>
    <x v="0"/>
    <x v="1"/>
  </r>
  <r>
    <n v="593"/>
    <n v="20"/>
    <n v="31.13"/>
    <n v="2"/>
    <n v="0"/>
    <n v="2566.4706999999999"/>
    <x v="0"/>
    <x v="0"/>
    <x v="0"/>
  </r>
  <r>
    <n v="615"/>
    <n v="20"/>
    <n v="33"/>
    <n v="0"/>
    <n v="0"/>
    <n v="1880.07"/>
    <x v="0"/>
    <x v="0"/>
    <x v="1"/>
  </r>
  <r>
    <n v="693"/>
    <n v="20"/>
    <n v="32.395000000000003"/>
    <n v="1"/>
    <n v="0"/>
    <n v="2362.2290499999999"/>
    <x v="3"/>
    <x v="0"/>
    <x v="0"/>
  </r>
  <r>
    <n v="714"/>
    <n v="20"/>
    <n v="40.47"/>
    <n v="0"/>
    <n v="0"/>
    <n v="1984.4532999999999"/>
    <x v="1"/>
    <x v="0"/>
    <x v="0"/>
  </r>
  <r>
    <n v="816"/>
    <n v="20"/>
    <n v="31.46"/>
    <n v="0"/>
    <n v="0"/>
    <n v="1877.9294"/>
    <x v="0"/>
    <x v="0"/>
    <x v="1"/>
  </r>
  <r>
    <n v="856"/>
    <n v="20"/>
    <n v="29.6"/>
    <n v="0"/>
    <n v="0"/>
    <n v="1875.3440000000001"/>
    <x v="2"/>
    <x v="0"/>
    <x v="1"/>
  </r>
  <r>
    <n v="985"/>
    <n v="20"/>
    <n v="30.114999999999998"/>
    <n v="5"/>
    <n v="0"/>
    <n v="4915.0598499999996"/>
    <x v="1"/>
    <x v="0"/>
    <x v="0"/>
  </r>
  <r>
    <n v="1043"/>
    <n v="20"/>
    <n v="30.684999999999999"/>
    <n v="0"/>
    <n v="1"/>
    <n v="33475.817150000003"/>
    <x v="1"/>
    <x v="1"/>
    <x v="0"/>
  </r>
  <r>
    <n v="1148"/>
    <n v="20"/>
    <n v="31.92"/>
    <n v="0"/>
    <n v="0"/>
    <n v="2261.5688"/>
    <x v="3"/>
    <x v="0"/>
    <x v="1"/>
  </r>
  <r>
    <n v="1159"/>
    <n v="20"/>
    <n v="30.59"/>
    <n v="0"/>
    <n v="0"/>
    <n v="2459.7201"/>
    <x v="1"/>
    <x v="0"/>
    <x v="1"/>
  </r>
  <r>
    <n v="1187"/>
    <n v="20"/>
    <n v="35.625"/>
    <n v="3"/>
    <n v="1"/>
    <n v="37465.34375"/>
    <x v="3"/>
    <x v="1"/>
    <x v="0"/>
  </r>
  <r>
    <n v="1224"/>
    <n v="20"/>
    <n v="24.42"/>
    <n v="0"/>
    <n v="1"/>
    <n v="26125.674770000001"/>
    <x v="0"/>
    <x v="1"/>
    <x v="1"/>
  </r>
  <r>
    <n v="1232"/>
    <n v="20"/>
    <n v="21.8"/>
    <n v="0"/>
    <n v="1"/>
    <n v="20167.336029999999"/>
    <x v="2"/>
    <x v="1"/>
    <x v="1"/>
  </r>
  <r>
    <n v="1253"/>
    <n v="20"/>
    <n v="27.3"/>
    <n v="0"/>
    <n v="1"/>
    <n v="16232.847"/>
    <x v="2"/>
    <x v="1"/>
    <x v="0"/>
  </r>
  <r>
    <n v="1269"/>
    <n v="20"/>
    <n v="33.299999999999997"/>
    <n v="0"/>
    <n v="0"/>
    <n v="1880.4870000000001"/>
    <x v="2"/>
    <x v="0"/>
    <x v="1"/>
  </r>
  <r>
    <n v="1289"/>
    <n v="20"/>
    <n v="39.4"/>
    <n v="2"/>
    <n v="1"/>
    <n v="38344.565999999999"/>
    <x v="2"/>
    <x v="1"/>
    <x v="0"/>
  </r>
  <r>
    <n v="1296"/>
    <n v="20"/>
    <n v="22"/>
    <n v="1"/>
    <n v="0"/>
    <n v="1964.78"/>
    <x v="2"/>
    <x v="0"/>
    <x v="0"/>
  </r>
  <r>
    <n v="52"/>
    <n v="21"/>
    <n v="33.630000000000003"/>
    <n v="2"/>
    <n v="0"/>
    <n v="3579.8287"/>
    <x v="3"/>
    <x v="0"/>
    <x v="1"/>
  </r>
  <r>
    <n v="78"/>
    <n v="21"/>
    <n v="35.53"/>
    <n v="0"/>
    <n v="0"/>
    <n v="1532.4697000000001"/>
    <x v="0"/>
    <x v="0"/>
    <x v="0"/>
  </r>
  <r>
    <n v="91"/>
    <n v="21"/>
    <n v="39.49"/>
    <n v="0"/>
    <n v="0"/>
    <n v="2026.9740999999999"/>
    <x v="0"/>
    <x v="0"/>
    <x v="1"/>
  </r>
  <r>
    <n v="114"/>
    <n v="21"/>
    <n v="35.72"/>
    <n v="0"/>
    <n v="0"/>
    <n v="2404.7338"/>
    <x v="3"/>
    <x v="0"/>
    <x v="1"/>
  </r>
  <r>
    <n v="364"/>
    <n v="21"/>
    <n v="26.4"/>
    <n v="1"/>
    <n v="0"/>
    <n v="2597.779"/>
    <x v="2"/>
    <x v="0"/>
    <x v="1"/>
  </r>
  <r>
    <n v="365"/>
    <n v="21"/>
    <n v="21.89"/>
    <n v="2"/>
    <n v="0"/>
    <n v="3180.5101"/>
    <x v="0"/>
    <x v="0"/>
    <x v="1"/>
  </r>
  <r>
    <n v="398"/>
    <n v="21"/>
    <n v="31.02"/>
    <n v="0"/>
    <n v="0"/>
    <n v="16586.49771"/>
    <x v="0"/>
    <x v="0"/>
    <x v="0"/>
  </r>
  <r>
    <n v="429"/>
    <n v="21"/>
    <n v="16.815000000000001"/>
    <n v="1"/>
    <n v="0"/>
    <n v="3167.4558499999998"/>
    <x v="1"/>
    <x v="0"/>
    <x v="1"/>
  </r>
  <r>
    <n v="479"/>
    <n v="21"/>
    <n v="36.85"/>
    <n v="0"/>
    <n v="0"/>
    <n v="1534.3045"/>
    <x v="0"/>
    <x v="0"/>
    <x v="0"/>
  </r>
  <r>
    <n v="495"/>
    <n v="21"/>
    <n v="25.7"/>
    <n v="4"/>
    <n v="1"/>
    <n v="17942.106"/>
    <x v="2"/>
    <x v="1"/>
    <x v="0"/>
  </r>
  <r>
    <n v="508"/>
    <n v="21"/>
    <n v="23.75"/>
    <n v="2"/>
    <n v="0"/>
    <n v="3077.0954999999999"/>
    <x v="3"/>
    <x v="0"/>
    <x v="0"/>
  </r>
  <r>
    <n v="587"/>
    <n v="21"/>
    <n v="20.234999999999999"/>
    <n v="3"/>
    <n v="0"/>
    <n v="3861.2096499999998"/>
    <x v="1"/>
    <x v="0"/>
    <x v="0"/>
  </r>
  <r>
    <n v="594"/>
    <n v="21"/>
    <n v="21.85"/>
    <n v="1"/>
    <n v="1"/>
    <n v="15359.104499999999"/>
    <x v="1"/>
    <x v="1"/>
    <x v="1"/>
  </r>
  <r>
    <n v="681"/>
    <n v="21"/>
    <n v="17.399999999999999"/>
    <n v="1"/>
    <n v="0"/>
    <n v="2585.2689999999998"/>
    <x v="2"/>
    <x v="0"/>
    <x v="1"/>
  </r>
  <r>
    <n v="691"/>
    <n v="21"/>
    <n v="27.36"/>
    <n v="0"/>
    <n v="0"/>
    <n v="2104.1134000000002"/>
    <x v="1"/>
    <x v="0"/>
    <x v="0"/>
  </r>
  <r>
    <n v="701"/>
    <n v="21"/>
    <n v="34.869999999999997"/>
    <n v="0"/>
    <n v="0"/>
    <n v="2020.5523000000001"/>
    <x v="0"/>
    <x v="0"/>
    <x v="1"/>
  </r>
  <r>
    <n v="752"/>
    <n v="21"/>
    <n v="28.975000000000001"/>
    <n v="0"/>
    <n v="0"/>
    <n v="1906.35825"/>
    <x v="3"/>
    <x v="0"/>
    <x v="0"/>
  </r>
  <r>
    <n v="788"/>
    <n v="21"/>
    <n v="36.86"/>
    <n v="0"/>
    <n v="0"/>
    <n v="1917.3184000000001"/>
    <x v="3"/>
    <x v="0"/>
    <x v="0"/>
  </r>
  <r>
    <n v="803"/>
    <n v="21"/>
    <n v="22.3"/>
    <n v="1"/>
    <n v="0"/>
    <n v="2103.08"/>
    <x v="2"/>
    <x v="0"/>
    <x v="0"/>
  </r>
  <r>
    <n v="841"/>
    <n v="21"/>
    <n v="31.1"/>
    <n v="0"/>
    <n v="0"/>
    <n v="1526.3119999999999"/>
    <x v="2"/>
    <x v="0"/>
    <x v="0"/>
  </r>
  <r>
    <n v="883"/>
    <n v="21"/>
    <n v="22.135000000000002"/>
    <n v="0"/>
    <n v="0"/>
    <n v="2585.8506499999999"/>
    <x v="1"/>
    <x v="0"/>
    <x v="1"/>
  </r>
  <r>
    <n v="969"/>
    <n v="21"/>
    <n v="25.745000000000001"/>
    <n v="2"/>
    <n v="0"/>
    <n v="3279.8685500000001"/>
    <x v="1"/>
    <x v="0"/>
    <x v="0"/>
  </r>
  <r>
    <n v="1020"/>
    <n v="21"/>
    <n v="32.68"/>
    <n v="2"/>
    <n v="0"/>
    <n v="26018.950519999999"/>
    <x v="3"/>
    <x v="0"/>
    <x v="1"/>
  </r>
  <r>
    <n v="1026"/>
    <n v="21"/>
    <n v="34.6"/>
    <n v="0"/>
    <n v="0"/>
    <n v="2020.1769999999999"/>
    <x v="2"/>
    <x v="0"/>
    <x v="1"/>
  </r>
  <r>
    <n v="1073"/>
    <n v="21"/>
    <n v="31.254999999999999"/>
    <n v="0"/>
    <n v="0"/>
    <n v="1909.52745"/>
    <x v="3"/>
    <x v="0"/>
    <x v="0"/>
  </r>
  <r>
    <n v="1078"/>
    <n v="21"/>
    <n v="26.03"/>
    <n v="0"/>
    <n v="0"/>
    <n v="2102.2647000000002"/>
    <x v="1"/>
    <x v="0"/>
    <x v="0"/>
  </r>
  <r>
    <n v="1293"/>
    <n v="21"/>
    <n v="23.21"/>
    <n v="0"/>
    <n v="0"/>
    <n v="1515.3449000000001"/>
    <x v="0"/>
    <x v="0"/>
    <x v="0"/>
  </r>
  <r>
    <n v="1337"/>
    <n v="21"/>
    <n v="25.8"/>
    <n v="0"/>
    <n v="0"/>
    <n v="2007.9449999999999"/>
    <x v="2"/>
    <x v="0"/>
    <x v="1"/>
  </r>
  <r>
    <n v="31"/>
    <n v="22"/>
    <n v="35.6"/>
    <n v="0"/>
    <n v="1"/>
    <n v="35585.576000000001"/>
    <x v="2"/>
    <x v="1"/>
    <x v="0"/>
  </r>
  <r>
    <n v="79"/>
    <n v="22"/>
    <n v="39.805"/>
    <n v="0"/>
    <n v="0"/>
    <n v="2755.0209500000001"/>
    <x v="1"/>
    <x v="0"/>
    <x v="1"/>
  </r>
  <r>
    <n v="83"/>
    <n v="22"/>
    <n v="37.619999999999997"/>
    <n v="1"/>
    <n v="1"/>
    <n v="37165.163800000002"/>
    <x v="0"/>
    <x v="1"/>
    <x v="0"/>
  </r>
  <r>
    <n v="136"/>
    <n v="22"/>
    <n v="28.05"/>
    <n v="0"/>
    <n v="0"/>
    <n v="2155.6815000000001"/>
    <x v="0"/>
    <x v="0"/>
    <x v="1"/>
  </r>
  <r>
    <n v="138"/>
    <n v="22"/>
    <n v="25.175000000000001"/>
    <n v="0"/>
    <n v="0"/>
    <n v="2045.68525"/>
    <x v="3"/>
    <x v="0"/>
    <x v="0"/>
  </r>
  <r>
    <n v="140"/>
    <n v="22"/>
    <n v="36"/>
    <n v="0"/>
    <n v="0"/>
    <n v="2166.732"/>
    <x v="2"/>
    <x v="0"/>
    <x v="1"/>
  </r>
  <r>
    <n v="183"/>
    <n v="22"/>
    <n v="19.95"/>
    <n v="3"/>
    <n v="0"/>
    <n v="4005.4225000000001"/>
    <x v="1"/>
    <x v="0"/>
    <x v="0"/>
  </r>
  <r>
    <n v="278"/>
    <n v="22"/>
    <n v="24.3"/>
    <n v="0"/>
    <n v="0"/>
    <n v="2150.4690000000001"/>
    <x v="2"/>
    <x v="0"/>
    <x v="1"/>
  </r>
  <r>
    <n v="294"/>
    <n v="22"/>
    <n v="28.82"/>
    <n v="0"/>
    <n v="0"/>
    <n v="2156.7518"/>
    <x v="0"/>
    <x v="0"/>
    <x v="1"/>
  </r>
  <r>
    <n v="437"/>
    <n v="22"/>
    <n v="31.73"/>
    <n v="0"/>
    <n v="0"/>
    <n v="2254.7966999999999"/>
    <x v="1"/>
    <x v="0"/>
    <x v="0"/>
  </r>
  <r>
    <n v="507"/>
    <n v="22"/>
    <n v="31.35"/>
    <n v="1"/>
    <n v="0"/>
    <n v="2643.2685000000001"/>
    <x v="3"/>
    <x v="0"/>
    <x v="0"/>
  </r>
  <r>
    <n v="577"/>
    <n v="22"/>
    <n v="26.84"/>
    <n v="0"/>
    <n v="0"/>
    <n v="1664.9996000000001"/>
    <x v="0"/>
    <x v="0"/>
    <x v="0"/>
  </r>
  <r>
    <n v="761"/>
    <n v="22"/>
    <n v="34.58"/>
    <n v="2"/>
    <n v="0"/>
    <n v="3925.7582000000002"/>
    <x v="1"/>
    <x v="0"/>
    <x v="1"/>
  </r>
  <r>
    <n v="793"/>
    <n v="22"/>
    <n v="23.18"/>
    <n v="0"/>
    <n v="0"/>
    <n v="2731.9122000000002"/>
    <x v="1"/>
    <x v="0"/>
    <x v="1"/>
  </r>
  <r>
    <n v="881"/>
    <n v="22"/>
    <n v="34.799999999999997"/>
    <n v="3"/>
    <n v="0"/>
    <n v="3443.0639999999999"/>
    <x v="2"/>
    <x v="0"/>
    <x v="0"/>
  </r>
  <r>
    <n v="889"/>
    <n v="22"/>
    <n v="39.5"/>
    <n v="0"/>
    <n v="0"/>
    <n v="1682.597"/>
    <x v="2"/>
    <x v="0"/>
    <x v="0"/>
  </r>
  <r>
    <n v="911"/>
    <n v="22"/>
    <n v="28.31"/>
    <n v="1"/>
    <n v="0"/>
    <n v="2639.0428999999999"/>
    <x v="3"/>
    <x v="0"/>
    <x v="0"/>
  </r>
  <r>
    <n v="973"/>
    <n v="22"/>
    <n v="20.234999999999999"/>
    <n v="0"/>
    <n v="0"/>
    <n v="2527.8186500000002"/>
    <x v="3"/>
    <x v="0"/>
    <x v="1"/>
  </r>
  <r>
    <n v="1022"/>
    <n v="22"/>
    <n v="31.02"/>
    <n v="3"/>
    <n v="1"/>
    <n v="35595.589800000002"/>
    <x v="0"/>
    <x v="1"/>
    <x v="1"/>
  </r>
  <r>
    <n v="1037"/>
    <n v="22"/>
    <n v="37.07"/>
    <n v="2"/>
    <n v="1"/>
    <n v="37484.4493"/>
    <x v="0"/>
    <x v="1"/>
    <x v="0"/>
  </r>
  <r>
    <n v="1039"/>
    <n v="22"/>
    <n v="28.88"/>
    <n v="0"/>
    <n v="0"/>
    <n v="2250.8352"/>
    <x v="1"/>
    <x v="0"/>
    <x v="0"/>
  </r>
  <r>
    <n v="1048"/>
    <n v="22"/>
    <n v="52.58"/>
    <n v="1"/>
    <n v="1"/>
    <n v="44501.398200000003"/>
    <x v="0"/>
    <x v="1"/>
    <x v="0"/>
  </r>
  <r>
    <n v="1094"/>
    <n v="22"/>
    <n v="30.4"/>
    <n v="0"/>
    <n v="1"/>
    <n v="33907.548000000003"/>
    <x v="3"/>
    <x v="1"/>
    <x v="1"/>
  </r>
  <r>
    <n v="1098"/>
    <n v="22"/>
    <n v="33.770000000000003"/>
    <n v="0"/>
    <n v="0"/>
    <n v="1674.6323"/>
    <x v="0"/>
    <x v="0"/>
    <x v="0"/>
  </r>
  <r>
    <n v="1176"/>
    <n v="22"/>
    <n v="27.1"/>
    <n v="0"/>
    <n v="0"/>
    <n v="2154.3609999999999"/>
    <x v="2"/>
    <x v="0"/>
    <x v="1"/>
  </r>
  <r>
    <n v="1203"/>
    <n v="22"/>
    <n v="32.11"/>
    <n v="0"/>
    <n v="0"/>
    <n v="2055.3249000000001"/>
    <x v="3"/>
    <x v="0"/>
    <x v="0"/>
  </r>
  <r>
    <n v="1243"/>
    <n v="22"/>
    <n v="21.28"/>
    <n v="3"/>
    <n v="0"/>
    <n v="4296.2712000000001"/>
    <x v="3"/>
    <x v="0"/>
    <x v="1"/>
  </r>
  <r>
    <n v="1277"/>
    <n v="22"/>
    <n v="30.4"/>
    <n v="0"/>
    <n v="0"/>
    <n v="2741.9479999999999"/>
    <x v="1"/>
    <x v="0"/>
    <x v="1"/>
  </r>
  <r>
    <n v="13"/>
    <n v="23"/>
    <n v="34.4"/>
    <n v="0"/>
    <n v="0"/>
    <n v="1826.8430000000001"/>
    <x v="2"/>
    <x v="0"/>
    <x v="0"/>
  </r>
  <r>
    <n v="18"/>
    <n v="23"/>
    <n v="23.844999999999999"/>
    <n v="0"/>
    <n v="0"/>
    <n v="2395.17155"/>
    <x v="1"/>
    <x v="0"/>
    <x v="0"/>
  </r>
  <r>
    <n v="29"/>
    <n v="23"/>
    <n v="17.385000000000002"/>
    <n v="1"/>
    <n v="0"/>
    <n v="2775.1921499999999"/>
    <x v="3"/>
    <x v="0"/>
    <x v="0"/>
  </r>
  <r>
    <n v="241"/>
    <n v="23"/>
    <n v="36.67"/>
    <n v="2"/>
    <n v="1"/>
    <n v="38511.628299999997"/>
    <x v="1"/>
    <x v="1"/>
    <x v="1"/>
  </r>
  <r>
    <n v="359"/>
    <n v="23"/>
    <n v="41.91"/>
    <n v="0"/>
    <n v="0"/>
    <n v="1837.2819"/>
    <x v="0"/>
    <x v="0"/>
    <x v="0"/>
  </r>
  <r>
    <n v="376"/>
    <n v="23"/>
    <n v="28.31"/>
    <n v="0"/>
    <n v="1"/>
    <n v="18033.9679"/>
    <x v="3"/>
    <x v="1"/>
    <x v="1"/>
  </r>
  <r>
    <n v="480"/>
    <n v="23"/>
    <n v="32.56"/>
    <n v="0"/>
    <n v="0"/>
    <n v="1824.2854"/>
    <x v="0"/>
    <x v="0"/>
    <x v="0"/>
  </r>
  <r>
    <n v="644"/>
    <n v="23"/>
    <n v="34.96"/>
    <n v="3"/>
    <n v="0"/>
    <n v="4466.6214"/>
    <x v="3"/>
    <x v="0"/>
    <x v="1"/>
  </r>
  <r>
    <n v="700"/>
    <n v="23"/>
    <n v="39.270000000000003"/>
    <n v="2"/>
    <n v="0"/>
    <n v="3500.6122999999998"/>
    <x v="0"/>
    <x v="0"/>
    <x v="1"/>
  </r>
  <r>
    <n v="739"/>
    <n v="23"/>
    <n v="31.73"/>
    <n v="3"/>
    <n v="1"/>
    <n v="36189.101699999999"/>
    <x v="1"/>
    <x v="1"/>
    <x v="0"/>
  </r>
  <r>
    <n v="762"/>
    <n v="23"/>
    <n v="35.200000000000003"/>
    <n v="1"/>
    <n v="0"/>
    <n v="2416.9549999999999"/>
    <x v="2"/>
    <x v="0"/>
    <x v="0"/>
  </r>
  <r>
    <n v="805"/>
    <n v="23"/>
    <n v="26.51"/>
    <n v="0"/>
    <n v="0"/>
    <n v="1815.8759"/>
    <x v="0"/>
    <x v="0"/>
    <x v="0"/>
  </r>
  <r>
    <n v="818"/>
    <n v="23"/>
    <n v="37.1"/>
    <n v="3"/>
    <n v="0"/>
    <n v="3597.596"/>
    <x v="2"/>
    <x v="0"/>
    <x v="0"/>
  </r>
  <r>
    <n v="843"/>
    <n v="23"/>
    <n v="32.78"/>
    <n v="2"/>
    <n v="1"/>
    <n v="36021.011200000001"/>
    <x v="0"/>
    <x v="1"/>
    <x v="1"/>
  </r>
  <r>
    <n v="848"/>
    <n v="23"/>
    <n v="50.38"/>
    <n v="1"/>
    <n v="0"/>
    <n v="2438.0551999999998"/>
    <x v="0"/>
    <x v="0"/>
    <x v="0"/>
  </r>
  <r>
    <n v="876"/>
    <n v="23"/>
    <n v="28.12"/>
    <n v="0"/>
    <n v="0"/>
    <n v="2690.1138000000001"/>
    <x v="3"/>
    <x v="0"/>
    <x v="1"/>
  </r>
  <r>
    <n v="882"/>
    <n v="23"/>
    <n v="27.36"/>
    <n v="1"/>
    <n v="0"/>
    <n v="2789.0574000000001"/>
    <x v="3"/>
    <x v="0"/>
    <x v="0"/>
  </r>
  <r>
    <n v="1028"/>
    <n v="23"/>
    <n v="18.715"/>
    <n v="0"/>
    <n v="0"/>
    <n v="21595.382290000001"/>
    <x v="3"/>
    <x v="0"/>
    <x v="0"/>
  </r>
  <r>
    <n v="1093"/>
    <n v="23"/>
    <n v="32.700000000000003"/>
    <n v="3"/>
    <n v="0"/>
    <n v="3591.48"/>
    <x v="2"/>
    <x v="0"/>
    <x v="0"/>
  </r>
  <r>
    <n v="1115"/>
    <n v="23"/>
    <n v="24.51"/>
    <n v="0"/>
    <n v="0"/>
    <n v="2396.0958999999998"/>
    <x v="1"/>
    <x v="0"/>
    <x v="0"/>
  </r>
  <r>
    <n v="1121"/>
    <n v="23"/>
    <n v="31.4"/>
    <n v="0"/>
    <n v="1"/>
    <n v="34166.273000000001"/>
    <x v="2"/>
    <x v="1"/>
    <x v="1"/>
  </r>
  <r>
    <n v="1125"/>
    <n v="23"/>
    <n v="42.75"/>
    <n v="1"/>
    <n v="1"/>
    <n v="40904.199500000002"/>
    <x v="1"/>
    <x v="1"/>
    <x v="1"/>
  </r>
  <r>
    <n v="1158"/>
    <n v="23"/>
    <n v="23.18"/>
    <n v="2"/>
    <n v="0"/>
    <n v="14426.073850000001"/>
    <x v="3"/>
    <x v="0"/>
    <x v="1"/>
  </r>
  <r>
    <n v="1179"/>
    <n v="23"/>
    <n v="34.865000000000002"/>
    <n v="0"/>
    <n v="0"/>
    <n v="2899.4893499999998"/>
    <x v="1"/>
    <x v="0"/>
    <x v="1"/>
  </r>
  <r>
    <n v="1185"/>
    <n v="23"/>
    <n v="28.49"/>
    <n v="1"/>
    <n v="1"/>
    <n v="18328.238099999999"/>
    <x v="0"/>
    <x v="1"/>
    <x v="1"/>
  </r>
  <r>
    <n v="1190"/>
    <n v="23"/>
    <n v="28"/>
    <n v="0"/>
    <n v="0"/>
    <n v="13126.677449999999"/>
    <x v="2"/>
    <x v="0"/>
    <x v="1"/>
  </r>
  <r>
    <n v="1329"/>
    <n v="23"/>
    <n v="24.225000000000001"/>
    <n v="2"/>
    <n v="0"/>
    <n v="22395.74424"/>
    <x v="1"/>
    <x v="0"/>
    <x v="1"/>
  </r>
  <r>
    <n v="1332"/>
    <n v="23"/>
    <n v="33.4"/>
    <n v="0"/>
    <n v="0"/>
    <n v="10795.937330000001"/>
    <x v="2"/>
    <x v="0"/>
    <x v="1"/>
  </r>
  <r>
    <n v="41"/>
    <n v="24"/>
    <n v="26.6"/>
    <n v="0"/>
    <n v="0"/>
    <n v="3046.0619999999999"/>
    <x v="1"/>
    <x v="0"/>
    <x v="1"/>
  </r>
  <r>
    <n v="175"/>
    <n v="24"/>
    <n v="33.344999999999999"/>
    <n v="0"/>
    <n v="0"/>
    <n v="2855.4375500000001"/>
    <x v="3"/>
    <x v="0"/>
    <x v="1"/>
  </r>
  <r>
    <n v="213"/>
    <n v="24"/>
    <n v="28.5"/>
    <n v="2"/>
    <n v="0"/>
    <n v="3537.703"/>
    <x v="3"/>
    <x v="0"/>
    <x v="0"/>
  </r>
  <r>
    <n v="220"/>
    <n v="24"/>
    <n v="23.21"/>
    <n v="0"/>
    <n v="0"/>
    <n v="25081.76784"/>
    <x v="0"/>
    <x v="0"/>
    <x v="1"/>
  </r>
  <r>
    <n v="248"/>
    <n v="24"/>
    <n v="35.86"/>
    <n v="0"/>
    <n v="0"/>
    <n v="1986.9333999999999"/>
    <x v="0"/>
    <x v="0"/>
    <x v="0"/>
  </r>
  <r>
    <n v="341"/>
    <n v="24"/>
    <n v="27.6"/>
    <n v="0"/>
    <n v="0"/>
    <n v="18955.220170000001"/>
    <x v="2"/>
    <x v="0"/>
    <x v="1"/>
  </r>
  <r>
    <n v="378"/>
    <n v="24"/>
    <n v="40.15"/>
    <n v="0"/>
    <n v="1"/>
    <n v="38126.246500000001"/>
    <x v="0"/>
    <x v="1"/>
    <x v="0"/>
  </r>
  <r>
    <n v="390"/>
    <n v="24"/>
    <n v="30.21"/>
    <n v="3"/>
    <n v="0"/>
    <n v="4618.0798999999997"/>
    <x v="3"/>
    <x v="0"/>
    <x v="1"/>
  </r>
  <r>
    <n v="453"/>
    <n v="24"/>
    <n v="23.4"/>
    <n v="0"/>
    <n v="0"/>
    <n v="1969.614"/>
    <x v="2"/>
    <x v="0"/>
    <x v="0"/>
  </r>
  <r>
    <n v="477"/>
    <n v="24"/>
    <n v="28.5"/>
    <n v="0"/>
    <n v="1"/>
    <n v="35147.528480000001"/>
    <x v="1"/>
    <x v="1"/>
    <x v="0"/>
  </r>
  <r>
    <n v="509"/>
    <n v="24"/>
    <n v="25.27"/>
    <n v="0"/>
    <n v="0"/>
    <n v="3044.2132999999999"/>
    <x v="1"/>
    <x v="0"/>
    <x v="1"/>
  </r>
  <r>
    <n v="632"/>
    <n v="24"/>
    <n v="29.3"/>
    <n v="0"/>
    <n v="0"/>
    <n v="1977.8150000000001"/>
    <x v="2"/>
    <x v="0"/>
    <x v="0"/>
  </r>
  <r>
    <n v="694"/>
    <n v="24"/>
    <n v="23.655000000000001"/>
    <n v="0"/>
    <n v="0"/>
    <n v="2352.9684499999998"/>
    <x v="3"/>
    <x v="0"/>
    <x v="0"/>
  </r>
  <r>
    <n v="715"/>
    <n v="24"/>
    <n v="22.6"/>
    <n v="0"/>
    <n v="0"/>
    <n v="2457.502"/>
    <x v="2"/>
    <x v="0"/>
    <x v="1"/>
  </r>
  <r>
    <n v="733"/>
    <n v="24"/>
    <n v="30.1"/>
    <n v="3"/>
    <n v="0"/>
    <n v="4234.9269999999997"/>
    <x v="2"/>
    <x v="0"/>
    <x v="1"/>
  </r>
  <r>
    <n v="755"/>
    <n v="24"/>
    <n v="33.630000000000003"/>
    <n v="4"/>
    <n v="0"/>
    <n v="17128.426080000001"/>
    <x v="1"/>
    <x v="0"/>
    <x v="0"/>
  </r>
  <r>
    <n v="817"/>
    <n v="24"/>
    <n v="24.225000000000001"/>
    <n v="0"/>
    <n v="0"/>
    <n v="2842.7607499999999"/>
    <x v="3"/>
    <x v="0"/>
    <x v="1"/>
  </r>
  <r>
    <n v="916"/>
    <n v="24"/>
    <n v="33.99"/>
    <n v="0"/>
    <n v="0"/>
    <n v="2473.3341"/>
    <x v="0"/>
    <x v="0"/>
    <x v="1"/>
  </r>
  <r>
    <n v="958"/>
    <n v="24"/>
    <n v="26.79"/>
    <n v="1"/>
    <n v="0"/>
    <n v="12609.88702"/>
    <x v="3"/>
    <x v="0"/>
    <x v="0"/>
  </r>
  <r>
    <n v="990"/>
    <n v="24"/>
    <n v="20.52"/>
    <n v="0"/>
    <n v="1"/>
    <n v="14571.890799999999"/>
    <x v="1"/>
    <x v="1"/>
    <x v="1"/>
  </r>
  <r>
    <n v="1002"/>
    <n v="24"/>
    <n v="32.700000000000003"/>
    <n v="0"/>
    <n v="1"/>
    <n v="34472.841"/>
    <x v="2"/>
    <x v="1"/>
    <x v="0"/>
  </r>
  <r>
    <n v="1003"/>
    <n v="24"/>
    <n v="25.8"/>
    <n v="0"/>
    <n v="0"/>
    <n v="1972.95"/>
    <x v="2"/>
    <x v="0"/>
    <x v="0"/>
  </r>
  <r>
    <n v="1059"/>
    <n v="24"/>
    <n v="39.49"/>
    <n v="0"/>
    <n v="0"/>
    <n v="2480.9791"/>
    <x v="0"/>
    <x v="0"/>
    <x v="1"/>
  </r>
  <r>
    <n v="1061"/>
    <n v="24"/>
    <n v="32.01"/>
    <n v="0"/>
    <n v="0"/>
    <n v="1981.5818999999999"/>
    <x v="0"/>
    <x v="0"/>
    <x v="0"/>
  </r>
  <r>
    <n v="1182"/>
    <n v="24"/>
    <n v="29.925000000000001"/>
    <n v="0"/>
    <n v="0"/>
    <n v="2850.6837500000001"/>
    <x v="3"/>
    <x v="0"/>
    <x v="1"/>
  </r>
  <r>
    <n v="1251"/>
    <n v="24"/>
    <n v="29.83"/>
    <n v="0"/>
    <n v="1"/>
    <n v="18648.421699999999"/>
    <x v="1"/>
    <x v="1"/>
    <x v="0"/>
  </r>
  <r>
    <n v="1268"/>
    <n v="24"/>
    <n v="31.065000000000001"/>
    <n v="0"/>
    <n v="1"/>
    <n v="34254.053350000002"/>
    <x v="1"/>
    <x v="1"/>
    <x v="0"/>
  </r>
  <r>
    <n v="1306"/>
    <n v="24"/>
    <n v="27.72"/>
    <n v="0"/>
    <n v="0"/>
    <n v="2464.6188000000002"/>
    <x v="0"/>
    <x v="0"/>
    <x v="1"/>
  </r>
  <r>
    <n v="11"/>
    <n v="25"/>
    <n v="26.22"/>
    <n v="0"/>
    <n v="0"/>
    <n v="2721.3208"/>
    <x v="1"/>
    <x v="0"/>
    <x v="0"/>
  </r>
  <r>
    <n v="62"/>
    <n v="25"/>
    <n v="33.659999999999997"/>
    <n v="4"/>
    <n v="0"/>
    <n v="4504.6624000000002"/>
    <x v="0"/>
    <x v="0"/>
    <x v="0"/>
  </r>
  <r>
    <n v="193"/>
    <n v="25"/>
    <n v="25.74"/>
    <n v="0"/>
    <n v="0"/>
    <n v="2137.6536000000001"/>
    <x v="0"/>
    <x v="0"/>
    <x v="0"/>
  </r>
  <r>
    <n v="275"/>
    <n v="25"/>
    <n v="27.55"/>
    <n v="0"/>
    <n v="0"/>
    <n v="2523.1695"/>
    <x v="3"/>
    <x v="0"/>
    <x v="0"/>
  </r>
  <r>
    <n v="293"/>
    <n v="25"/>
    <n v="45.54"/>
    <n v="2"/>
    <n v="1"/>
    <n v="42112.2356"/>
    <x v="0"/>
    <x v="1"/>
    <x v="0"/>
  </r>
  <r>
    <n v="295"/>
    <n v="25"/>
    <n v="26.8"/>
    <n v="3"/>
    <n v="0"/>
    <n v="3906.127"/>
    <x v="2"/>
    <x v="0"/>
    <x v="0"/>
  </r>
  <r>
    <n v="414"/>
    <n v="25"/>
    <n v="23.9"/>
    <n v="5"/>
    <n v="0"/>
    <n v="5080.0959999999995"/>
    <x v="2"/>
    <x v="0"/>
    <x v="0"/>
  </r>
  <r>
    <n v="424"/>
    <n v="25"/>
    <n v="30.59"/>
    <n v="0"/>
    <n v="0"/>
    <n v="2727.3951000000002"/>
    <x v="1"/>
    <x v="0"/>
    <x v="0"/>
  </r>
  <r>
    <n v="478"/>
    <n v="25"/>
    <n v="35.625"/>
    <n v="0"/>
    <n v="0"/>
    <n v="2534.3937500000002"/>
    <x v="3"/>
    <x v="0"/>
    <x v="0"/>
  </r>
  <r>
    <n v="549"/>
    <n v="25"/>
    <n v="28.594999999999999"/>
    <n v="0"/>
    <n v="0"/>
    <n v="3213.6220499999999"/>
    <x v="1"/>
    <x v="0"/>
    <x v="1"/>
  </r>
  <r>
    <n v="555"/>
    <n v="25"/>
    <n v="41.325000000000003"/>
    <n v="0"/>
    <n v="0"/>
    <n v="17878.900679999999"/>
    <x v="1"/>
    <x v="0"/>
    <x v="1"/>
  </r>
  <r>
    <n v="580"/>
    <n v="25"/>
    <n v="23.465"/>
    <n v="0"/>
    <n v="0"/>
    <n v="3206.4913499999998"/>
    <x v="1"/>
    <x v="0"/>
    <x v="1"/>
  </r>
  <r>
    <n v="810"/>
    <n v="25"/>
    <n v="25.84"/>
    <n v="1"/>
    <n v="0"/>
    <n v="3309.7926000000002"/>
    <x v="1"/>
    <x v="0"/>
    <x v="0"/>
  </r>
  <r>
    <n v="858"/>
    <n v="25"/>
    <n v="24.13"/>
    <n v="0"/>
    <n v="1"/>
    <n v="15817.985699999999"/>
    <x v="3"/>
    <x v="1"/>
    <x v="0"/>
  </r>
  <r>
    <n v="859"/>
    <n v="25"/>
    <n v="32.229999999999997"/>
    <n v="1"/>
    <n v="0"/>
    <n v="18218.161390000001"/>
    <x v="0"/>
    <x v="0"/>
    <x v="1"/>
  </r>
  <r>
    <n v="870"/>
    <n v="25"/>
    <n v="24.3"/>
    <n v="3"/>
    <n v="0"/>
    <n v="4391.652"/>
    <x v="2"/>
    <x v="0"/>
    <x v="1"/>
  </r>
  <r>
    <n v="885"/>
    <n v="25"/>
    <n v="26.695"/>
    <n v="4"/>
    <n v="0"/>
    <n v="4877.9810500000003"/>
    <x v="3"/>
    <x v="0"/>
    <x v="0"/>
  </r>
  <r>
    <n v="950"/>
    <n v="25"/>
    <n v="29.7"/>
    <n v="3"/>
    <n v="1"/>
    <n v="19933.457999999999"/>
    <x v="2"/>
    <x v="1"/>
    <x v="0"/>
  </r>
  <r>
    <n v="1009"/>
    <n v="25"/>
    <n v="24.984999999999999"/>
    <n v="2"/>
    <n v="0"/>
    <n v="23241.47453"/>
    <x v="1"/>
    <x v="0"/>
    <x v="0"/>
  </r>
  <r>
    <n v="1049"/>
    <n v="25"/>
    <n v="22.515000000000001"/>
    <n v="1"/>
    <n v="0"/>
    <n v="3594.17085"/>
    <x v="3"/>
    <x v="0"/>
    <x v="1"/>
  </r>
  <r>
    <n v="1100"/>
    <n v="25"/>
    <n v="33.99"/>
    <n v="1"/>
    <n v="0"/>
    <n v="3227.1210999999998"/>
    <x v="0"/>
    <x v="0"/>
    <x v="1"/>
  </r>
  <r>
    <n v="1118"/>
    <n v="25"/>
    <n v="33.33"/>
    <n v="2"/>
    <n v="1"/>
    <n v="36124.573700000001"/>
    <x v="0"/>
    <x v="1"/>
    <x v="0"/>
  </r>
  <r>
    <n v="1183"/>
    <n v="25"/>
    <n v="30.3"/>
    <n v="0"/>
    <n v="0"/>
    <n v="2632.9920000000002"/>
    <x v="2"/>
    <x v="0"/>
    <x v="1"/>
  </r>
  <r>
    <n v="1240"/>
    <n v="25"/>
    <n v="42.13"/>
    <n v="1"/>
    <n v="0"/>
    <n v="3238.4357"/>
    <x v="0"/>
    <x v="0"/>
    <x v="1"/>
  </r>
  <r>
    <n v="1272"/>
    <n v="25"/>
    <n v="34.484999999999999"/>
    <n v="0"/>
    <n v="0"/>
    <n v="3021.80915"/>
    <x v="3"/>
    <x v="0"/>
    <x v="1"/>
  </r>
  <r>
    <n v="1280"/>
    <n v="25"/>
    <n v="26.79"/>
    <n v="2"/>
    <n v="0"/>
    <n v="4189.1130999999996"/>
    <x v="3"/>
    <x v="0"/>
    <x v="1"/>
  </r>
  <r>
    <n v="1303"/>
    <n v="25"/>
    <n v="20.8"/>
    <n v="1"/>
    <n v="0"/>
    <n v="3208.7869999999998"/>
    <x v="2"/>
    <x v="0"/>
    <x v="1"/>
  </r>
  <r>
    <n v="1309"/>
    <n v="25"/>
    <n v="30.2"/>
    <n v="0"/>
    <n v="1"/>
    <n v="33900.652999999998"/>
    <x v="2"/>
    <x v="1"/>
    <x v="1"/>
  </r>
  <r>
    <n v="38"/>
    <n v="26"/>
    <n v="20.8"/>
    <n v="0"/>
    <n v="0"/>
    <n v="2302.3000000000002"/>
    <x v="2"/>
    <x v="0"/>
    <x v="0"/>
  </r>
  <r>
    <n v="108"/>
    <n v="26"/>
    <n v="30.875"/>
    <n v="2"/>
    <n v="0"/>
    <n v="3877.3042500000001"/>
    <x v="3"/>
    <x v="0"/>
    <x v="0"/>
  </r>
  <r>
    <n v="126"/>
    <n v="26"/>
    <n v="28.785"/>
    <n v="0"/>
    <n v="0"/>
    <n v="3385.3991500000002"/>
    <x v="1"/>
    <x v="0"/>
    <x v="1"/>
  </r>
  <r>
    <n v="142"/>
    <n v="26"/>
    <n v="32.49"/>
    <n v="1"/>
    <n v="0"/>
    <n v="3490.5491000000002"/>
    <x v="1"/>
    <x v="0"/>
    <x v="0"/>
  </r>
  <r>
    <n v="187"/>
    <n v="26"/>
    <n v="29.92"/>
    <n v="2"/>
    <n v="0"/>
    <n v="3981.9767999999999"/>
    <x v="0"/>
    <x v="0"/>
    <x v="1"/>
  </r>
  <r>
    <n v="219"/>
    <n v="26"/>
    <n v="29.92"/>
    <n v="1"/>
    <n v="0"/>
    <n v="3392.9767999999999"/>
    <x v="0"/>
    <x v="0"/>
    <x v="1"/>
  </r>
  <r>
    <n v="322"/>
    <n v="26"/>
    <n v="29.64"/>
    <n v="4"/>
    <n v="0"/>
    <n v="24671.663339999999"/>
    <x v="1"/>
    <x v="0"/>
    <x v="1"/>
  </r>
  <r>
    <n v="374"/>
    <n v="26"/>
    <n v="32.9"/>
    <n v="2"/>
    <n v="1"/>
    <n v="36085.218999999997"/>
    <x v="2"/>
    <x v="1"/>
    <x v="0"/>
  </r>
  <r>
    <n v="389"/>
    <n v="26"/>
    <n v="22.61"/>
    <n v="0"/>
    <n v="0"/>
    <n v="3176.8159000000001"/>
    <x v="3"/>
    <x v="0"/>
    <x v="1"/>
  </r>
  <r>
    <n v="413"/>
    <n v="26"/>
    <n v="17.195"/>
    <n v="2"/>
    <n v="1"/>
    <n v="14455.644050000001"/>
    <x v="1"/>
    <x v="1"/>
    <x v="1"/>
  </r>
  <r>
    <n v="440"/>
    <n v="26"/>
    <n v="29.45"/>
    <n v="0"/>
    <n v="0"/>
    <n v="2897.3235"/>
    <x v="1"/>
    <x v="0"/>
    <x v="0"/>
  </r>
  <r>
    <n v="657"/>
    <n v="26"/>
    <n v="42.4"/>
    <n v="1"/>
    <n v="0"/>
    <n v="3410.3240000000001"/>
    <x v="2"/>
    <x v="0"/>
    <x v="1"/>
  </r>
  <r>
    <n v="696"/>
    <n v="26"/>
    <n v="40.185000000000002"/>
    <n v="0"/>
    <n v="0"/>
    <n v="3201.2451500000002"/>
    <x v="3"/>
    <x v="0"/>
    <x v="1"/>
  </r>
  <r>
    <n v="738"/>
    <n v="26"/>
    <n v="23.7"/>
    <n v="2"/>
    <n v="0"/>
    <n v="3484.3310000000001"/>
    <x v="2"/>
    <x v="0"/>
    <x v="0"/>
  </r>
  <r>
    <n v="822"/>
    <n v="26"/>
    <n v="17.670000000000002"/>
    <n v="0"/>
    <n v="0"/>
    <n v="2680.9493000000002"/>
    <x v="3"/>
    <x v="0"/>
    <x v="0"/>
  </r>
  <r>
    <n v="872"/>
    <n v="26"/>
    <n v="29.48"/>
    <n v="1"/>
    <n v="0"/>
    <n v="3392.3652000000002"/>
    <x v="0"/>
    <x v="0"/>
    <x v="1"/>
  </r>
  <r>
    <n v="903"/>
    <n v="26"/>
    <n v="27.265000000000001"/>
    <n v="3"/>
    <n v="0"/>
    <n v="4661.2863500000003"/>
    <x v="1"/>
    <x v="0"/>
    <x v="0"/>
  </r>
  <r>
    <n v="906"/>
    <n v="26"/>
    <n v="29.355"/>
    <n v="2"/>
    <n v="0"/>
    <n v="4564.1914500000003"/>
    <x v="1"/>
    <x v="0"/>
    <x v="1"/>
  </r>
  <r>
    <n v="931"/>
    <n v="26"/>
    <n v="46.53"/>
    <n v="1"/>
    <n v="0"/>
    <n v="2927.0646999999999"/>
    <x v="0"/>
    <x v="0"/>
    <x v="0"/>
  </r>
  <r>
    <n v="975"/>
    <n v="26"/>
    <n v="35.42"/>
    <n v="0"/>
    <n v="0"/>
    <n v="2322.6217999999999"/>
    <x v="0"/>
    <x v="0"/>
    <x v="0"/>
  </r>
  <r>
    <n v="978"/>
    <n v="26"/>
    <n v="29.15"/>
    <n v="1"/>
    <n v="0"/>
    <n v="2902.9065000000001"/>
    <x v="0"/>
    <x v="0"/>
    <x v="0"/>
  </r>
  <r>
    <n v="991"/>
    <n v="26"/>
    <n v="19.8"/>
    <n v="1"/>
    <n v="0"/>
    <n v="3378.91"/>
    <x v="2"/>
    <x v="0"/>
    <x v="1"/>
  </r>
  <r>
    <n v="1018"/>
    <n v="26"/>
    <n v="34.200000000000003"/>
    <n v="2"/>
    <n v="0"/>
    <n v="3987.9259999999999"/>
    <x v="2"/>
    <x v="0"/>
    <x v="1"/>
  </r>
  <r>
    <n v="1109"/>
    <n v="26"/>
    <n v="30"/>
    <n v="1"/>
    <n v="0"/>
    <n v="2904.0880000000002"/>
    <x v="2"/>
    <x v="0"/>
    <x v="0"/>
  </r>
  <r>
    <n v="1138"/>
    <n v="26"/>
    <n v="22.23"/>
    <n v="0"/>
    <n v="0"/>
    <n v="3176.2876999999999"/>
    <x v="3"/>
    <x v="0"/>
    <x v="1"/>
  </r>
  <r>
    <n v="1236"/>
    <n v="26"/>
    <n v="31.065000000000001"/>
    <n v="0"/>
    <n v="0"/>
    <n v="2699.56835"/>
    <x v="3"/>
    <x v="0"/>
    <x v="0"/>
  </r>
  <r>
    <n v="1271"/>
    <n v="26"/>
    <n v="33.914999999999999"/>
    <n v="1"/>
    <n v="0"/>
    <n v="3292.5298499999999"/>
    <x v="3"/>
    <x v="0"/>
    <x v="0"/>
  </r>
  <r>
    <n v="1275"/>
    <n v="26"/>
    <n v="27.06"/>
    <n v="0"/>
    <n v="1"/>
    <n v="17043.341400000001"/>
    <x v="0"/>
    <x v="1"/>
    <x v="0"/>
  </r>
  <r>
    <n v="15"/>
    <n v="27"/>
    <n v="42.13"/>
    <n v="0"/>
    <n v="1"/>
    <n v="39611.757700000002"/>
    <x v="0"/>
    <x v="1"/>
    <x v="0"/>
  </r>
  <r>
    <n v="71"/>
    <n v="27"/>
    <n v="24.75"/>
    <n v="0"/>
    <n v="1"/>
    <n v="16577.779500000001"/>
    <x v="0"/>
    <x v="1"/>
    <x v="1"/>
  </r>
  <r>
    <n v="170"/>
    <n v="27"/>
    <n v="18.905000000000001"/>
    <n v="3"/>
    <n v="0"/>
    <n v="4827.9049500000001"/>
    <x v="1"/>
    <x v="0"/>
    <x v="0"/>
  </r>
  <r>
    <n v="204"/>
    <n v="27"/>
    <n v="36.08"/>
    <n v="0"/>
    <n v="1"/>
    <n v="37133.898200000003"/>
    <x v="0"/>
    <x v="1"/>
    <x v="1"/>
  </r>
  <r>
    <n v="218"/>
    <n v="27"/>
    <n v="23.1"/>
    <n v="0"/>
    <n v="0"/>
    <n v="2483.7359999999999"/>
    <x v="0"/>
    <x v="0"/>
    <x v="0"/>
  </r>
  <r>
    <n v="254"/>
    <n v="27"/>
    <n v="30.3"/>
    <n v="3"/>
    <n v="0"/>
    <n v="4260.7439999999997"/>
    <x v="2"/>
    <x v="0"/>
    <x v="0"/>
  </r>
  <r>
    <n v="315"/>
    <n v="27"/>
    <n v="31.4"/>
    <n v="0"/>
    <n v="1"/>
    <n v="34838.873"/>
    <x v="2"/>
    <x v="1"/>
    <x v="1"/>
  </r>
  <r>
    <n v="327"/>
    <n v="27"/>
    <n v="23.21"/>
    <n v="1"/>
    <n v="0"/>
    <n v="3561.8888999999999"/>
    <x v="0"/>
    <x v="0"/>
    <x v="1"/>
  </r>
  <r>
    <n v="381"/>
    <n v="27"/>
    <n v="17.954999999999998"/>
    <n v="2"/>
    <n v="1"/>
    <n v="15006.579449999999"/>
    <x v="1"/>
    <x v="1"/>
    <x v="1"/>
  </r>
  <r>
    <n v="430"/>
    <n v="27"/>
    <n v="30.4"/>
    <n v="3"/>
    <n v="0"/>
    <n v="18804.752400000001"/>
    <x v="3"/>
    <x v="0"/>
    <x v="1"/>
  </r>
  <r>
    <n v="471"/>
    <n v="27"/>
    <n v="32.67"/>
    <n v="0"/>
    <n v="0"/>
    <n v="2497.0383000000002"/>
    <x v="0"/>
    <x v="0"/>
    <x v="0"/>
  </r>
  <r>
    <n v="512"/>
    <n v="27"/>
    <n v="33.659999999999997"/>
    <n v="0"/>
    <n v="0"/>
    <n v="2498.4144000000001"/>
    <x v="0"/>
    <x v="0"/>
    <x v="0"/>
  </r>
  <r>
    <n v="563"/>
    <n v="27"/>
    <n v="30.5"/>
    <n v="0"/>
    <n v="0"/>
    <n v="2494.0219999999999"/>
    <x v="2"/>
    <x v="0"/>
    <x v="0"/>
  </r>
  <r>
    <n v="607"/>
    <n v="27"/>
    <n v="25.175000000000001"/>
    <n v="0"/>
    <n v="0"/>
    <n v="3558.6202499999999"/>
    <x v="1"/>
    <x v="0"/>
    <x v="1"/>
  </r>
  <r>
    <n v="658"/>
    <n v="27"/>
    <n v="33.155000000000001"/>
    <n v="2"/>
    <n v="0"/>
    <n v="4058.71245"/>
    <x v="3"/>
    <x v="0"/>
    <x v="0"/>
  </r>
  <r>
    <n v="690"/>
    <n v="27"/>
    <n v="31.13"/>
    <n v="1"/>
    <n v="1"/>
    <n v="34806.467700000001"/>
    <x v="0"/>
    <x v="1"/>
    <x v="0"/>
  </r>
  <r>
    <n v="695"/>
    <n v="27"/>
    <n v="34.799999999999997"/>
    <n v="1"/>
    <n v="0"/>
    <n v="3577.9989999999998"/>
    <x v="2"/>
    <x v="0"/>
    <x v="1"/>
  </r>
  <r>
    <n v="742"/>
    <n v="27"/>
    <n v="29.15"/>
    <n v="0"/>
    <n v="1"/>
    <n v="18246.495500000001"/>
    <x v="0"/>
    <x v="1"/>
    <x v="0"/>
  </r>
  <r>
    <n v="764"/>
    <n v="27"/>
    <n v="26.03"/>
    <n v="0"/>
    <n v="0"/>
    <n v="3070.8087"/>
    <x v="1"/>
    <x v="0"/>
    <x v="0"/>
  </r>
  <r>
    <n v="796"/>
    <n v="27"/>
    <n v="28.5"/>
    <n v="0"/>
    <n v="1"/>
    <n v="18310.741999999998"/>
    <x v="3"/>
    <x v="1"/>
    <x v="0"/>
  </r>
  <r>
    <n v="849"/>
    <n v="27"/>
    <n v="24.1"/>
    <n v="0"/>
    <n v="0"/>
    <n v="2974.1260000000002"/>
    <x v="2"/>
    <x v="0"/>
    <x v="1"/>
  </r>
  <r>
    <n v="907"/>
    <n v="27"/>
    <n v="32.585000000000001"/>
    <n v="3"/>
    <n v="0"/>
    <n v="4846.9201499999999"/>
    <x v="1"/>
    <x v="0"/>
    <x v="0"/>
  </r>
  <r>
    <n v="984"/>
    <n v="27"/>
    <n v="30.59"/>
    <n v="1"/>
    <n v="0"/>
    <n v="16796.411940000002"/>
    <x v="1"/>
    <x v="0"/>
    <x v="1"/>
  </r>
  <r>
    <n v="995"/>
    <n v="27"/>
    <n v="20.045000000000002"/>
    <n v="3"/>
    <n v="1"/>
    <n v="16420.494549999999"/>
    <x v="3"/>
    <x v="1"/>
    <x v="1"/>
  </r>
  <r>
    <n v="1055"/>
    <n v="27"/>
    <n v="21.47"/>
    <n v="0"/>
    <n v="0"/>
    <n v="3353.4703"/>
    <x v="3"/>
    <x v="0"/>
    <x v="1"/>
  </r>
  <r>
    <n v="1124"/>
    <n v="27"/>
    <n v="32.395000000000003"/>
    <n v="1"/>
    <n v="0"/>
    <n v="18903.491409999999"/>
    <x v="1"/>
    <x v="0"/>
    <x v="1"/>
  </r>
  <r>
    <n v="1132"/>
    <n v="27"/>
    <n v="45.9"/>
    <n v="2"/>
    <n v="0"/>
    <n v="3693.4279999999999"/>
    <x v="2"/>
    <x v="0"/>
    <x v="0"/>
  </r>
  <r>
    <n v="1215"/>
    <n v="27"/>
    <n v="31.254999999999999"/>
    <n v="1"/>
    <n v="0"/>
    <n v="3956.0714499999999"/>
    <x v="3"/>
    <x v="0"/>
    <x v="1"/>
  </r>
  <r>
    <n v="3"/>
    <n v="28"/>
    <n v="33"/>
    <n v="3"/>
    <n v="0"/>
    <n v="4449.4620000000004"/>
    <x v="0"/>
    <x v="0"/>
    <x v="0"/>
  </r>
  <r>
    <n v="35"/>
    <n v="28"/>
    <n v="36.4"/>
    <n v="1"/>
    <n v="1"/>
    <n v="51194.559139999998"/>
    <x v="2"/>
    <x v="1"/>
    <x v="0"/>
  </r>
  <r>
    <n v="48"/>
    <n v="28"/>
    <n v="34.770000000000003"/>
    <n v="0"/>
    <n v="0"/>
    <n v="3556.9223000000002"/>
    <x v="3"/>
    <x v="0"/>
    <x v="1"/>
  </r>
  <r>
    <n v="64"/>
    <n v="28"/>
    <n v="25.934999999999999"/>
    <n v="1"/>
    <n v="0"/>
    <n v="4133.6416499999996"/>
    <x v="3"/>
    <x v="0"/>
    <x v="1"/>
  </r>
  <r>
    <n v="70"/>
    <n v="28"/>
    <n v="23.98"/>
    <n v="3"/>
    <n v="1"/>
    <n v="17663.144199999999"/>
    <x v="0"/>
    <x v="1"/>
    <x v="0"/>
  </r>
  <r>
    <n v="96"/>
    <n v="28"/>
    <n v="37.619999999999997"/>
    <n v="1"/>
    <n v="0"/>
    <n v="3766.8838000000001"/>
    <x v="0"/>
    <x v="0"/>
    <x v="1"/>
  </r>
  <r>
    <n v="206"/>
    <n v="28"/>
    <n v="28.88"/>
    <n v="1"/>
    <n v="0"/>
    <n v="4337.7352000000001"/>
    <x v="1"/>
    <x v="0"/>
    <x v="1"/>
  </r>
  <r>
    <n v="227"/>
    <n v="28"/>
    <n v="38.06"/>
    <n v="0"/>
    <n v="0"/>
    <n v="2689.4953999999998"/>
    <x v="0"/>
    <x v="0"/>
    <x v="0"/>
  </r>
  <r>
    <n v="291"/>
    <n v="28"/>
    <n v="33.4"/>
    <n v="0"/>
    <n v="0"/>
    <n v="3172.018"/>
    <x v="2"/>
    <x v="0"/>
    <x v="1"/>
  </r>
  <r>
    <n v="304"/>
    <n v="28"/>
    <n v="33"/>
    <n v="2"/>
    <n v="0"/>
    <n v="4349.4620000000004"/>
    <x v="0"/>
    <x v="0"/>
    <x v="1"/>
  </r>
  <r>
    <n v="307"/>
    <n v="28"/>
    <n v="27.5"/>
    <n v="2"/>
    <n v="0"/>
    <n v="20177.671129999999"/>
    <x v="2"/>
    <x v="0"/>
    <x v="1"/>
  </r>
  <r>
    <n v="469"/>
    <n v="28"/>
    <n v="24.32"/>
    <n v="1"/>
    <n v="0"/>
    <n v="23288.928400000001"/>
    <x v="1"/>
    <x v="0"/>
    <x v="1"/>
  </r>
  <r>
    <n v="547"/>
    <n v="28"/>
    <n v="35.435000000000002"/>
    <n v="0"/>
    <n v="0"/>
    <n v="3268.84665"/>
    <x v="1"/>
    <x v="0"/>
    <x v="0"/>
  </r>
  <r>
    <n v="556"/>
    <n v="28"/>
    <n v="23.8"/>
    <n v="2"/>
    <n v="0"/>
    <n v="3847.674"/>
    <x v="2"/>
    <x v="0"/>
    <x v="0"/>
  </r>
  <r>
    <n v="609"/>
    <n v="28"/>
    <n v="26.98"/>
    <n v="2"/>
    <n v="0"/>
    <n v="4435.0941999999995"/>
    <x v="1"/>
    <x v="0"/>
    <x v="0"/>
  </r>
  <r>
    <n v="750"/>
    <n v="28"/>
    <n v="30.875"/>
    <n v="0"/>
    <n v="0"/>
    <n v="3062.5082499999999"/>
    <x v="3"/>
    <x v="0"/>
    <x v="0"/>
  </r>
  <r>
    <n v="814"/>
    <n v="28"/>
    <n v="22.515000000000001"/>
    <n v="2"/>
    <n v="0"/>
    <n v="4428.8878500000001"/>
    <x v="1"/>
    <x v="0"/>
    <x v="0"/>
  </r>
  <r>
    <n v="833"/>
    <n v="28"/>
    <n v="23.844999999999999"/>
    <n v="2"/>
    <n v="0"/>
    <n v="4719.7365499999996"/>
    <x v="3"/>
    <x v="0"/>
    <x v="1"/>
  </r>
  <r>
    <n v="1007"/>
    <n v="28"/>
    <n v="29.26"/>
    <n v="2"/>
    <n v="0"/>
    <n v="4438.2633999999998"/>
    <x v="1"/>
    <x v="0"/>
    <x v="0"/>
  </r>
  <r>
    <n v="1044"/>
    <n v="28"/>
    <n v="25.8"/>
    <n v="0"/>
    <n v="0"/>
    <n v="3161.4540000000002"/>
    <x v="2"/>
    <x v="0"/>
    <x v="1"/>
  </r>
  <r>
    <n v="1079"/>
    <n v="28"/>
    <n v="31.68"/>
    <n v="0"/>
    <n v="1"/>
    <n v="34672.147199999999"/>
    <x v="0"/>
    <x v="1"/>
    <x v="0"/>
  </r>
  <r>
    <n v="1114"/>
    <n v="28"/>
    <n v="26.315000000000001"/>
    <n v="3"/>
    <n v="0"/>
    <n v="5312.1698500000002"/>
    <x v="3"/>
    <x v="0"/>
    <x v="1"/>
  </r>
  <r>
    <n v="1135"/>
    <n v="28"/>
    <n v="33.82"/>
    <n v="0"/>
    <n v="0"/>
    <n v="19673.335729999999"/>
    <x v="3"/>
    <x v="0"/>
    <x v="0"/>
  </r>
  <r>
    <n v="1244"/>
    <n v="28"/>
    <n v="33.11"/>
    <n v="0"/>
    <n v="0"/>
    <n v="3171.6149"/>
    <x v="0"/>
    <x v="0"/>
    <x v="1"/>
  </r>
  <r>
    <n v="1246"/>
    <n v="28"/>
    <n v="24.3"/>
    <n v="5"/>
    <n v="0"/>
    <n v="5615.3689999999997"/>
    <x v="2"/>
    <x v="0"/>
    <x v="0"/>
  </r>
  <r>
    <n v="1262"/>
    <n v="28"/>
    <n v="37.1"/>
    <n v="1"/>
    <n v="0"/>
    <n v="3277.1610000000001"/>
    <x v="2"/>
    <x v="0"/>
    <x v="0"/>
  </r>
  <r>
    <n v="1287"/>
    <n v="28"/>
    <n v="17.29"/>
    <n v="0"/>
    <n v="0"/>
    <n v="3732.6251000000002"/>
    <x v="1"/>
    <x v="0"/>
    <x v="1"/>
  </r>
  <r>
    <n v="1298"/>
    <n v="28"/>
    <n v="26.51"/>
    <n v="2"/>
    <n v="0"/>
    <n v="4340.4408999999996"/>
    <x v="0"/>
    <x v="0"/>
    <x v="1"/>
  </r>
  <r>
    <n v="77"/>
    <n v="29"/>
    <n v="29.59"/>
    <n v="1"/>
    <n v="0"/>
    <n v="3947.4131000000002"/>
    <x v="0"/>
    <x v="0"/>
    <x v="1"/>
  </r>
  <r>
    <n v="109"/>
    <n v="29"/>
    <n v="27.94"/>
    <n v="0"/>
    <n v="0"/>
    <n v="2867.1196"/>
    <x v="0"/>
    <x v="0"/>
    <x v="0"/>
  </r>
  <r>
    <n v="118"/>
    <n v="29"/>
    <n v="27.94"/>
    <n v="1"/>
    <n v="1"/>
    <n v="19107.779600000002"/>
    <x v="0"/>
    <x v="1"/>
    <x v="1"/>
  </r>
  <r>
    <n v="144"/>
    <n v="29"/>
    <n v="29.734999999999999"/>
    <n v="2"/>
    <n v="0"/>
    <n v="18157.876"/>
    <x v="3"/>
    <x v="0"/>
    <x v="0"/>
  </r>
  <r>
    <n v="146"/>
    <n v="29"/>
    <n v="38.83"/>
    <n v="3"/>
    <n v="0"/>
    <n v="5138.2566999999999"/>
    <x v="0"/>
    <x v="0"/>
    <x v="1"/>
  </r>
  <r>
    <n v="190"/>
    <n v="29"/>
    <n v="32.11"/>
    <n v="2"/>
    <n v="0"/>
    <n v="4922.9159"/>
    <x v="3"/>
    <x v="0"/>
    <x v="1"/>
  </r>
  <r>
    <n v="250"/>
    <n v="29"/>
    <n v="28.975000000000001"/>
    <n v="1"/>
    <n v="0"/>
    <n v="4040.55825"/>
    <x v="1"/>
    <x v="0"/>
    <x v="0"/>
  </r>
  <r>
    <n v="292"/>
    <n v="29"/>
    <n v="29.64"/>
    <n v="1"/>
    <n v="0"/>
    <n v="20277.807509999999"/>
    <x v="1"/>
    <x v="0"/>
    <x v="0"/>
  </r>
  <r>
    <n v="306"/>
    <n v="29"/>
    <n v="33.344999999999999"/>
    <n v="2"/>
    <n v="0"/>
    <n v="19442.353500000001"/>
    <x v="3"/>
    <x v="0"/>
    <x v="0"/>
  </r>
  <r>
    <n v="325"/>
    <n v="29"/>
    <n v="27.2"/>
    <n v="0"/>
    <n v="0"/>
    <n v="2866.0909999999999"/>
    <x v="2"/>
    <x v="0"/>
    <x v="0"/>
  </r>
  <r>
    <n v="432"/>
    <n v="29"/>
    <n v="20.234999999999999"/>
    <n v="2"/>
    <n v="0"/>
    <n v="4906.4096499999996"/>
    <x v="3"/>
    <x v="0"/>
    <x v="1"/>
  </r>
  <r>
    <n v="501"/>
    <n v="29"/>
    <n v="34.4"/>
    <n v="0"/>
    <n v="1"/>
    <n v="36197.699000000001"/>
    <x v="2"/>
    <x v="1"/>
    <x v="0"/>
  </r>
  <r>
    <n v="626"/>
    <n v="29"/>
    <n v="26.03"/>
    <n v="0"/>
    <n v="0"/>
    <n v="3736.4647"/>
    <x v="3"/>
    <x v="0"/>
    <x v="1"/>
  </r>
  <r>
    <n v="633"/>
    <n v="29"/>
    <n v="35.53"/>
    <n v="0"/>
    <n v="0"/>
    <n v="3366.6696999999999"/>
    <x v="0"/>
    <x v="0"/>
    <x v="1"/>
  </r>
  <r>
    <n v="672"/>
    <n v="29"/>
    <n v="31.16"/>
    <n v="0"/>
    <n v="0"/>
    <n v="3943.5954000000002"/>
    <x v="1"/>
    <x v="0"/>
    <x v="1"/>
  </r>
  <r>
    <n v="728"/>
    <n v="29"/>
    <n v="21.754999999999999"/>
    <n v="1"/>
    <n v="1"/>
    <n v="16657.71745"/>
    <x v="1"/>
    <x v="1"/>
    <x v="1"/>
  </r>
  <r>
    <n v="740"/>
    <n v="29"/>
    <n v="35.5"/>
    <n v="2"/>
    <n v="1"/>
    <n v="44585.455869999998"/>
    <x v="2"/>
    <x v="1"/>
    <x v="0"/>
  </r>
  <r>
    <n v="789"/>
    <n v="29"/>
    <n v="22.515000000000001"/>
    <n v="3"/>
    <n v="0"/>
    <n v="5209.5788499999999"/>
    <x v="1"/>
    <x v="0"/>
    <x v="0"/>
  </r>
  <r>
    <n v="962"/>
    <n v="29"/>
    <n v="25.9"/>
    <n v="0"/>
    <n v="0"/>
    <n v="3353.2840000000001"/>
    <x v="2"/>
    <x v="0"/>
    <x v="1"/>
  </r>
  <r>
    <n v="976"/>
    <n v="29"/>
    <n v="22.895"/>
    <n v="0"/>
    <n v="1"/>
    <n v="16138.762049999999"/>
    <x v="1"/>
    <x v="1"/>
    <x v="0"/>
  </r>
  <r>
    <n v="1006"/>
    <n v="29"/>
    <n v="31.73"/>
    <n v="2"/>
    <n v="0"/>
    <n v="4433.3877000000002"/>
    <x v="3"/>
    <x v="0"/>
    <x v="0"/>
  </r>
  <r>
    <n v="1065"/>
    <n v="29"/>
    <n v="25.6"/>
    <n v="4"/>
    <n v="0"/>
    <n v="5708.8670000000002"/>
    <x v="2"/>
    <x v="0"/>
    <x v="1"/>
  </r>
  <r>
    <n v="1103"/>
    <n v="29"/>
    <n v="38.94"/>
    <n v="1"/>
    <n v="0"/>
    <n v="3471.4096"/>
    <x v="0"/>
    <x v="0"/>
    <x v="0"/>
  </r>
  <r>
    <n v="1168"/>
    <n v="29"/>
    <n v="24.6"/>
    <n v="2"/>
    <n v="0"/>
    <n v="4529.4769999999999"/>
    <x v="2"/>
    <x v="0"/>
    <x v="1"/>
  </r>
  <r>
    <n v="1175"/>
    <n v="29"/>
    <n v="32.11"/>
    <n v="2"/>
    <n v="0"/>
    <n v="4433.9159"/>
    <x v="3"/>
    <x v="0"/>
    <x v="0"/>
  </r>
  <r>
    <n v="1218"/>
    <n v="29"/>
    <n v="37.29"/>
    <n v="2"/>
    <n v="0"/>
    <n v="4058.1161000000002"/>
    <x v="0"/>
    <x v="0"/>
    <x v="0"/>
  </r>
  <r>
    <n v="1307"/>
    <n v="29"/>
    <n v="21.85"/>
    <n v="0"/>
    <n v="1"/>
    <n v="16115.3045"/>
    <x v="1"/>
    <x v="1"/>
    <x v="1"/>
  </r>
  <r>
    <n v="20"/>
    <n v="30"/>
    <n v="35.299999999999997"/>
    <n v="0"/>
    <n v="1"/>
    <n v="36837.466999999997"/>
    <x v="2"/>
    <x v="1"/>
    <x v="0"/>
  </r>
  <r>
    <n v="22"/>
    <n v="30"/>
    <n v="32.4"/>
    <n v="1"/>
    <n v="0"/>
    <n v="4149.7359999999999"/>
    <x v="2"/>
    <x v="0"/>
    <x v="1"/>
  </r>
  <r>
    <n v="102"/>
    <n v="30"/>
    <n v="25.46"/>
    <n v="0"/>
    <n v="0"/>
    <n v="3645.0893999999998"/>
    <x v="1"/>
    <x v="0"/>
    <x v="0"/>
  </r>
  <r>
    <n v="145"/>
    <n v="30"/>
    <n v="28.69"/>
    <n v="3"/>
    <n v="1"/>
    <n v="20745.989099999999"/>
    <x v="3"/>
    <x v="1"/>
    <x v="0"/>
  </r>
  <r>
    <n v="159"/>
    <n v="30"/>
    <n v="35.53"/>
    <n v="0"/>
    <n v="1"/>
    <n v="36950.256699999998"/>
    <x v="0"/>
    <x v="1"/>
    <x v="0"/>
  </r>
  <r>
    <n v="188"/>
    <n v="30"/>
    <n v="30.9"/>
    <n v="3"/>
    <n v="0"/>
    <n v="5325.6509999999998"/>
    <x v="2"/>
    <x v="0"/>
    <x v="1"/>
  </r>
  <r>
    <n v="283"/>
    <n v="30"/>
    <n v="27.645"/>
    <n v="1"/>
    <n v="0"/>
    <n v="4237.12655"/>
    <x v="1"/>
    <x v="0"/>
    <x v="0"/>
  </r>
  <r>
    <n v="308"/>
    <n v="30"/>
    <n v="33.33"/>
    <n v="1"/>
    <n v="0"/>
    <n v="4151.0286999999998"/>
    <x v="0"/>
    <x v="0"/>
    <x v="1"/>
  </r>
  <r>
    <n v="353"/>
    <n v="30"/>
    <n v="27.7"/>
    <n v="0"/>
    <n v="0"/>
    <n v="3554.203"/>
    <x v="2"/>
    <x v="0"/>
    <x v="1"/>
  </r>
  <r>
    <n v="452"/>
    <n v="30"/>
    <n v="24.13"/>
    <n v="1"/>
    <n v="0"/>
    <n v="4032.2406999999998"/>
    <x v="3"/>
    <x v="0"/>
    <x v="0"/>
  </r>
  <r>
    <n v="466"/>
    <n v="30"/>
    <n v="28.38"/>
    <n v="1"/>
    <n v="1"/>
    <n v="19521.968199999999"/>
    <x v="0"/>
    <x v="1"/>
    <x v="1"/>
  </r>
  <r>
    <n v="573"/>
    <n v="30"/>
    <n v="43.12"/>
    <n v="2"/>
    <n v="0"/>
    <n v="4753.6368000000002"/>
    <x v="0"/>
    <x v="0"/>
    <x v="1"/>
  </r>
  <r>
    <n v="610"/>
    <n v="30"/>
    <n v="37.799999999999997"/>
    <n v="2"/>
    <n v="1"/>
    <n v="39241.442000000003"/>
    <x v="2"/>
    <x v="1"/>
    <x v="0"/>
  </r>
  <r>
    <n v="621"/>
    <n v="30"/>
    <n v="31.4"/>
    <n v="1"/>
    <n v="0"/>
    <n v="3659.346"/>
    <x v="2"/>
    <x v="0"/>
    <x v="0"/>
  </r>
  <r>
    <n v="671"/>
    <n v="30"/>
    <n v="31.57"/>
    <n v="3"/>
    <n v="0"/>
    <n v="4837.5823"/>
    <x v="0"/>
    <x v="0"/>
    <x v="0"/>
  </r>
  <r>
    <n v="726"/>
    <n v="30"/>
    <n v="39.049999999999997"/>
    <n v="3"/>
    <n v="1"/>
    <n v="40932.429499999998"/>
    <x v="0"/>
    <x v="1"/>
    <x v="1"/>
  </r>
  <r>
    <n v="759"/>
    <n v="30"/>
    <n v="37.43"/>
    <n v="3"/>
    <n v="0"/>
    <n v="5428.7277000000004"/>
    <x v="1"/>
    <x v="0"/>
    <x v="0"/>
  </r>
  <r>
    <n v="781"/>
    <n v="30"/>
    <n v="24.4"/>
    <n v="3"/>
    <n v="1"/>
    <n v="18259.216"/>
    <x v="2"/>
    <x v="1"/>
    <x v="0"/>
  </r>
  <r>
    <n v="797"/>
    <n v="30"/>
    <n v="44.22"/>
    <n v="2"/>
    <n v="0"/>
    <n v="4266.1657999999998"/>
    <x v="0"/>
    <x v="0"/>
    <x v="0"/>
  </r>
  <r>
    <n v="798"/>
    <n v="30"/>
    <n v="22.895"/>
    <n v="1"/>
    <n v="0"/>
    <n v="4719.52405"/>
    <x v="1"/>
    <x v="0"/>
    <x v="1"/>
  </r>
  <r>
    <n v="953"/>
    <n v="30"/>
    <n v="28.405000000000001"/>
    <n v="1"/>
    <n v="0"/>
    <n v="4527.1829500000003"/>
    <x v="3"/>
    <x v="0"/>
    <x v="1"/>
  </r>
  <r>
    <n v="1001"/>
    <n v="30"/>
    <n v="22.99"/>
    <n v="2"/>
    <n v="1"/>
    <n v="17361.766100000001"/>
    <x v="3"/>
    <x v="1"/>
    <x v="0"/>
  </r>
  <r>
    <n v="1033"/>
    <n v="30"/>
    <n v="27.93"/>
    <n v="0"/>
    <n v="0"/>
    <n v="4137.5227000000004"/>
    <x v="1"/>
    <x v="0"/>
    <x v="1"/>
  </r>
  <r>
    <n v="1120"/>
    <n v="30"/>
    <n v="19.95"/>
    <n v="3"/>
    <n v="0"/>
    <n v="5693.4305000000004"/>
    <x v="3"/>
    <x v="0"/>
    <x v="1"/>
  </r>
  <r>
    <n v="1163"/>
    <n v="30"/>
    <n v="38.83"/>
    <n v="1"/>
    <n v="0"/>
    <n v="18963.171920000001"/>
    <x v="0"/>
    <x v="0"/>
    <x v="0"/>
  </r>
  <r>
    <n v="1221"/>
    <n v="30"/>
    <n v="21.945"/>
    <n v="1"/>
    <n v="0"/>
    <n v="4718.2035500000002"/>
    <x v="1"/>
    <x v="0"/>
    <x v="1"/>
  </r>
  <r>
    <n v="1315"/>
    <n v="30"/>
    <n v="23.655000000000001"/>
    <n v="3"/>
    <n v="1"/>
    <n v="18765.87545"/>
    <x v="3"/>
    <x v="1"/>
    <x v="1"/>
  </r>
  <r>
    <n v="6"/>
    <n v="31"/>
    <n v="25.74"/>
    <n v="0"/>
    <n v="0"/>
    <n v="3756.6215999999999"/>
    <x v="0"/>
    <x v="0"/>
    <x v="1"/>
  </r>
  <r>
    <n v="30"/>
    <n v="31"/>
    <n v="36.299999999999997"/>
    <n v="2"/>
    <n v="1"/>
    <n v="38711"/>
    <x v="2"/>
    <x v="1"/>
    <x v="0"/>
  </r>
  <r>
    <n v="42"/>
    <n v="31"/>
    <n v="36.630000000000003"/>
    <n v="2"/>
    <n v="0"/>
    <n v="4949.7587000000003"/>
    <x v="0"/>
    <x v="0"/>
    <x v="1"/>
  </r>
  <r>
    <n v="72"/>
    <n v="31"/>
    <n v="28.5"/>
    <n v="5"/>
    <n v="0"/>
    <n v="6799.4579999999996"/>
    <x v="1"/>
    <x v="0"/>
    <x v="0"/>
  </r>
  <r>
    <n v="81"/>
    <n v="31"/>
    <n v="26.885000000000002"/>
    <n v="1"/>
    <n v="0"/>
    <n v="4441.2131499999996"/>
    <x v="1"/>
    <x v="0"/>
    <x v="0"/>
  </r>
  <r>
    <n v="238"/>
    <n v="31"/>
    <n v="38.39"/>
    <n v="2"/>
    <n v="0"/>
    <n v="4463.2051000000001"/>
    <x v="0"/>
    <x v="0"/>
    <x v="0"/>
  </r>
  <r>
    <n v="299"/>
    <n v="31"/>
    <n v="34.39"/>
    <n v="3"/>
    <n v="1"/>
    <n v="38746.355100000001"/>
    <x v="3"/>
    <x v="1"/>
    <x v="0"/>
  </r>
  <r>
    <n v="405"/>
    <n v="31"/>
    <n v="20.399999999999999"/>
    <n v="0"/>
    <n v="0"/>
    <n v="3260.1990000000001"/>
    <x v="2"/>
    <x v="0"/>
    <x v="0"/>
  </r>
  <r>
    <n v="435"/>
    <n v="31"/>
    <n v="28.594999999999999"/>
    <n v="1"/>
    <n v="0"/>
    <n v="4243.5900499999998"/>
    <x v="3"/>
    <x v="0"/>
    <x v="0"/>
  </r>
  <r>
    <n v="441"/>
    <n v="31"/>
    <n v="32.68"/>
    <n v="1"/>
    <n v="0"/>
    <n v="4738.2682000000004"/>
    <x v="3"/>
    <x v="0"/>
    <x v="1"/>
  </r>
  <r>
    <n v="486"/>
    <n v="31"/>
    <n v="31.065000000000001"/>
    <n v="0"/>
    <n v="0"/>
    <n v="4347.0233500000004"/>
    <x v="1"/>
    <x v="0"/>
    <x v="1"/>
  </r>
  <r>
    <n v="497"/>
    <n v="31"/>
    <n v="23.6"/>
    <n v="2"/>
    <n v="0"/>
    <n v="4931.6469999999999"/>
    <x v="2"/>
    <x v="0"/>
    <x v="1"/>
  </r>
  <r>
    <n v="520"/>
    <n v="31"/>
    <n v="30.875"/>
    <n v="0"/>
    <n v="0"/>
    <n v="3857.7592500000001"/>
    <x v="1"/>
    <x v="0"/>
    <x v="0"/>
  </r>
  <r>
    <n v="571"/>
    <n v="31"/>
    <n v="29.1"/>
    <n v="0"/>
    <n v="0"/>
    <n v="3761.2919999999999"/>
    <x v="2"/>
    <x v="0"/>
    <x v="1"/>
  </r>
  <r>
    <n v="578"/>
    <n v="31"/>
    <n v="38.094999999999999"/>
    <n v="1"/>
    <n v="1"/>
    <n v="58571.074480000003"/>
    <x v="1"/>
    <x v="1"/>
    <x v="1"/>
  </r>
  <r>
    <n v="709"/>
    <n v="31"/>
    <n v="30.495000000000001"/>
    <n v="3"/>
    <n v="0"/>
    <n v="6113.2310500000003"/>
    <x v="1"/>
    <x v="0"/>
    <x v="1"/>
  </r>
  <r>
    <n v="744"/>
    <n v="31"/>
    <n v="26.62"/>
    <n v="0"/>
    <n v="0"/>
    <n v="3757.8447999999999"/>
    <x v="0"/>
    <x v="0"/>
    <x v="1"/>
  </r>
  <r>
    <n v="756"/>
    <n v="31"/>
    <n v="27.645"/>
    <n v="2"/>
    <n v="0"/>
    <n v="5031.26955"/>
    <x v="1"/>
    <x v="0"/>
    <x v="0"/>
  </r>
  <r>
    <n v="785"/>
    <n v="31"/>
    <n v="29.26"/>
    <n v="1"/>
    <n v="0"/>
    <n v="4350.5144"/>
    <x v="0"/>
    <x v="0"/>
    <x v="1"/>
  </r>
  <r>
    <n v="956"/>
    <n v="31"/>
    <n v="39.49"/>
    <n v="1"/>
    <n v="0"/>
    <n v="3875.7341000000001"/>
    <x v="0"/>
    <x v="0"/>
    <x v="0"/>
  </r>
  <r>
    <n v="983"/>
    <n v="31"/>
    <n v="25.9"/>
    <n v="3"/>
    <n v="1"/>
    <n v="19199.944"/>
    <x v="2"/>
    <x v="1"/>
    <x v="0"/>
  </r>
  <r>
    <n v="1180"/>
    <n v="31"/>
    <n v="29.81"/>
    <n v="0"/>
    <n v="1"/>
    <n v="19350.368900000001"/>
    <x v="0"/>
    <x v="1"/>
    <x v="0"/>
  </r>
  <r>
    <n v="1191"/>
    <n v="31"/>
    <n v="32.774999999999999"/>
    <n v="2"/>
    <n v="0"/>
    <n v="5327.4002499999997"/>
    <x v="3"/>
    <x v="0"/>
    <x v="1"/>
  </r>
  <r>
    <n v="1195"/>
    <n v="31"/>
    <n v="21.754999999999999"/>
    <n v="0"/>
    <n v="0"/>
    <n v="4134.0824499999999"/>
    <x v="3"/>
    <x v="0"/>
    <x v="1"/>
  </r>
  <r>
    <n v="1200"/>
    <n v="31"/>
    <n v="25.8"/>
    <n v="2"/>
    <n v="0"/>
    <n v="4934.7049999999999"/>
    <x v="2"/>
    <x v="0"/>
    <x v="1"/>
  </r>
  <r>
    <n v="1321"/>
    <n v="31"/>
    <n v="31.065000000000001"/>
    <n v="3"/>
    <n v="0"/>
    <n v="5425.0233500000004"/>
    <x v="3"/>
    <x v="0"/>
    <x v="0"/>
  </r>
  <r>
    <n v="1325"/>
    <n v="31"/>
    <n v="25.934999999999999"/>
    <n v="1"/>
    <n v="0"/>
    <n v="4239.8926499999998"/>
    <x v="3"/>
    <x v="0"/>
    <x v="0"/>
  </r>
  <r>
    <n v="5"/>
    <n v="32"/>
    <n v="28.88"/>
    <n v="0"/>
    <n v="0"/>
    <n v="3866.8552"/>
    <x v="3"/>
    <x v="0"/>
    <x v="0"/>
  </r>
  <r>
    <n v="129"/>
    <n v="32"/>
    <n v="17.765000000000001"/>
    <n v="2"/>
    <n v="1"/>
    <n v="32734.186300000001"/>
    <x v="3"/>
    <x v="1"/>
    <x v="1"/>
  </r>
  <r>
    <n v="153"/>
    <n v="32"/>
    <n v="37.145000000000003"/>
    <n v="3"/>
    <n v="0"/>
    <n v="6334.3435499999996"/>
    <x v="1"/>
    <x v="0"/>
    <x v="1"/>
  </r>
  <r>
    <n v="164"/>
    <n v="32"/>
    <n v="29.8"/>
    <n v="2"/>
    <n v="0"/>
    <n v="5152.134"/>
    <x v="2"/>
    <x v="0"/>
    <x v="1"/>
  </r>
  <r>
    <n v="168"/>
    <n v="32"/>
    <n v="33.155000000000001"/>
    <n v="3"/>
    <n v="0"/>
    <n v="6128.79745"/>
    <x v="3"/>
    <x v="0"/>
    <x v="1"/>
  </r>
  <r>
    <n v="223"/>
    <n v="32"/>
    <n v="30.8"/>
    <n v="3"/>
    <n v="0"/>
    <n v="5253.5240000000003"/>
    <x v="2"/>
    <x v="0"/>
    <x v="0"/>
  </r>
  <r>
    <n v="320"/>
    <n v="32"/>
    <n v="37.335000000000001"/>
    <n v="1"/>
    <n v="0"/>
    <n v="4667.6076499999999"/>
    <x v="1"/>
    <x v="0"/>
    <x v="0"/>
  </r>
  <r>
    <n v="410"/>
    <n v="32"/>
    <n v="30.03"/>
    <n v="1"/>
    <n v="0"/>
    <n v="4074.4537"/>
    <x v="0"/>
    <x v="0"/>
    <x v="0"/>
  </r>
  <r>
    <n v="455"/>
    <n v="32"/>
    <n v="46.53"/>
    <n v="2"/>
    <n v="0"/>
    <n v="4686.3887000000004"/>
    <x v="0"/>
    <x v="0"/>
    <x v="0"/>
  </r>
  <r>
    <n v="522"/>
    <n v="32"/>
    <n v="44.22"/>
    <n v="0"/>
    <n v="0"/>
    <n v="3994.1777999999999"/>
    <x v="0"/>
    <x v="0"/>
    <x v="1"/>
  </r>
  <r>
    <n v="552"/>
    <n v="32"/>
    <n v="28.93"/>
    <n v="0"/>
    <n v="0"/>
    <n v="3972.9247"/>
    <x v="0"/>
    <x v="0"/>
    <x v="1"/>
  </r>
  <r>
    <n v="584"/>
    <n v="32"/>
    <n v="23.65"/>
    <n v="1"/>
    <n v="0"/>
    <n v="17626.239509999999"/>
    <x v="0"/>
    <x v="0"/>
    <x v="1"/>
  </r>
  <r>
    <n v="663"/>
    <n v="32"/>
    <n v="31.54"/>
    <n v="1"/>
    <n v="0"/>
    <n v="5148.5526"/>
    <x v="1"/>
    <x v="0"/>
    <x v="1"/>
  </r>
  <r>
    <n v="886"/>
    <n v="32"/>
    <n v="28.93"/>
    <n v="1"/>
    <n v="1"/>
    <n v="19719.6947"/>
    <x v="0"/>
    <x v="1"/>
    <x v="0"/>
  </r>
  <r>
    <n v="910"/>
    <n v="32"/>
    <n v="24.6"/>
    <n v="0"/>
    <n v="1"/>
    <n v="17496.306"/>
    <x v="2"/>
    <x v="1"/>
    <x v="1"/>
  </r>
  <r>
    <n v="935"/>
    <n v="32"/>
    <n v="37.18"/>
    <n v="2"/>
    <n v="0"/>
    <n v="4673.3922000000002"/>
    <x v="0"/>
    <x v="0"/>
    <x v="0"/>
  </r>
  <r>
    <n v="1060"/>
    <n v="32"/>
    <n v="33.82"/>
    <n v="1"/>
    <n v="0"/>
    <n v="4462.7218000000003"/>
    <x v="3"/>
    <x v="0"/>
    <x v="0"/>
  </r>
  <r>
    <n v="1076"/>
    <n v="32"/>
    <n v="29.59"/>
    <n v="1"/>
    <n v="0"/>
    <n v="4562.8420999999998"/>
    <x v="0"/>
    <x v="0"/>
    <x v="1"/>
  </r>
  <r>
    <n v="1082"/>
    <n v="32"/>
    <n v="27.835000000000001"/>
    <n v="1"/>
    <n v="0"/>
    <n v="4454.40265"/>
    <x v="3"/>
    <x v="0"/>
    <x v="0"/>
  </r>
  <r>
    <n v="1084"/>
    <n v="32"/>
    <n v="31.5"/>
    <n v="1"/>
    <n v="0"/>
    <n v="4076.4969999999998"/>
    <x v="2"/>
    <x v="0"/>
    <x v="0"/>
  </r>
  <r>
    <n v="1160"/>
    <n v="32"/>
    <n v="41.1"/>
    <n v="0"/>
    <n v="0"/>
    <n v="3989.8409999999999"/>
    <x v="2"/>
    <x v="0"/>
    <x v="1"/>
  </r>
  <r>
    <n v="1169"/>
    <n v="32"/>
    <n v="35.200000000000003"/>
    <n v="2"/>
    <n v="0"/>
    <n v="4670.6400000000003"/>
    <x v="2"/>
    <x v="0"/>
    <x v="0"/>
  </r>
  <r>
    <n v="1250"/>
    <n v="32"/>
    <n v="33.630000000000003"/>
    <n v="1"/>
    <n v="1"/>
    <n v="37607.527699999999"/>
    <x v="1"/>
    <x v="1"/>
    <x v="0"/>
  </r>
  <r>
    <n v="1261"/>
    <n v="32"/>
    <n v="20.52"/>
    <n v="0"/>
    <n v="0"/>
    <n v="4544.2348000000002"/>
    <x v="1"/>
    <x v="0"/>
    <x v="1"/>
  </r>
  <r>
    <n v="1278"/>
    <n v="32"/>
    <n v="29.734999999999999"/>
    <n v="0"/>
    <n v="0"/>
    <n v="4357.0436499999996"/>
    <x v="3"/>
    <x v="0"/>
    <x v="1"/>
  </r>
  <r>
    <n v="1308"/>
    <n v="32"/>
    <n v="28.12"/>
    <n v="4"/>
    <n v="1"/>
    <n v="21472.478800000001"/>
    <x v="3"/>
    <x v="1"/>
    <x v="0"/>
  </r>
  <r>
    <n v="4"/>
    <n v="33"/>
    <n v="22.704999999999998"/>
    <n v="0"/>
    <n v="0"/>
    <n v="21984.47061"/>
    <x v="3"/>
    <x v="0"/>
    <x v="0"/>
  </r>
  <r>
    <n v="242"/>
    <n v="33"/>
    <n v="22.135000000000002"/>
    <n v="1"/>
    <n v="0"/>
    <n v="5354.0746499999996"/>
    <x v="1"/>
    <x v="0"/>
    <x v="1"/>
  </r>
  <r>
    <n v="347"/>
    <n v="33"/>
    <n v="35.75"/>
    <n v="2"/>
    <n v="0"/>
    <n v="4889.9994999999999"/>
    <x v="0"/>
    <x v="0"/>
    <x v="0"/>
  </r>
  <r>
    <n v="354"/>
    <n v="33"/>
    <n v="35.244999999999997"/>
    <n v="0"/>
    <n v="0"/>
    <n v="12404.8791"/>
    <x v="1"/>
    <x v="0"/>
    <x v="0"/>
  </r>
  <r>
    <n v="407"/>
    <n v="33"/>
    <n v="24.31"/>
    <n v="0"/>
    <n v="0"/>
    <n v="4185.0978999999998"/>
    <x v="0"/>
    <x v="0"/>
    <x v="1"/>
  </r>
  <r>
    <n v="442"/>
    <n v="33"/>
    <n v="33.5"/>
    <n v="0"/>
    <n v="1"/>
    <n v="37079.372000000003"/>
    <x v="2"/>
    <x v="1"/>
    <x v="1"/>
  </r>
  <r>
    <n v="537"/>
    <n v="33"/>
    <n v="38.9"/>
    <n v="3"/>
    <n v="0"/>
    <n v="5972.3779999999997"/>
    <x v="2"/>
    <x v="0"/>
    <x v="1"/>
  </r>
  <r>
    <n v="586"/>
    <n v="33"/>
    <n v="28.27"/>
    <n v="1"/>
    <n v="0"/>
    <n v="4779.6022999999996"/>
    <x v="0"/>
    <x v="0"/>
    <x v="1"/>
  </r>
  <r>
    <n v="628"/>
    <n v="33"/>
    <n v="42.46"/>
    <n v="1"/>
    <n v="0"/>
    <n v="11326.71487"/>
    <x v="0"/>
    <x v="0"/>
    <x v="0"/>
  </r>
  <r>
    <n v="641"/>
    <n v="33"/>
    <n v="42.4"/>
    <n v="5"/>
    <n v="0"/>
    <n v="6666.2430000000004"/>
    <x v="2"/>
    <x v="0"/>
    <x v="0"/>
  </r>
  <r>
    <n v="685"/>
    <n v="33"/>
    <n v="18.5"/>
    <n v="1"/>
    <n v="0"/>
    <n v="4766.0219999999999"/>
    <x v="2"/>
    <x v="0"/>
    <x v="1"/>
  </r>
  <r>
    <n v="706"/>
    <n v="33"/>
    <n v="32.9"/>
    <n v="2"/>
    <n v="0"/>
    <n v="5375.0379999999996"/>
    <x v="2"/>
    <x v="0"/>
    <x v="1"/>
  </r>
  <r>
    <n v="763"/>
    <n v="33"/>
    <n v="27.1"/>
    <n v="1"/>
    <n v="1"/>
    <n v="19040.876"/>
    <x v="2"/>
    <x v="1"/>
    <x v="0"/>
  </r>
  <r>
    <n v="800"/>
    <n v="33"/>
    <n v="24.795000000000002"/>
    <n v="0"/>
    <n v="1"/>
    <n v="17904.527050000001"/>
    <x v="1"/>
    <x v="1"/>
    <x v="0"/>
  </r>
  <r>
    <n v="812"/>
    <n v="33"/>
    <n v="42.94"/>
    <n v="3"/>
    <n v="0"/>
    <n v="6360.9935999999998"/>
    <x v="3"/>
    <x v="0"/>
    <x v="1"/>
  </r>
  <r>
    <n v="820"/>
    <n v="33"/>
    <n v="35.53"/>
    <n v="0"/>
    <n v="1"/>
    <n v="55135.402090000003"/>
    <x v="3"/>
    <x v="1"/>
    <x v="1"/>
  </r>
  <r>
    <n v="878"/>
    <n v="33"/>
    <n v="33.44"/>
    <n v="5"/>
    <n v="0"/>
    <n v="6653.7885999999999"/>
    <x v="0"/>
    <x v="0"/>
    <x v="0"/>
  </r>
  <r>
    <n v="915"/>
    <n v="33"/>
    <n v="24.605"/>
    <n v="2"/>
    <n v="0"/>
    <n v="5257.5079500000002"/>
    <x v="3"/>
    <x v="0"/>
    <x v="0"/>
  </r>
  <r>
    <n v="999"/>
    <n v="33"/>
    <n v="36.29"/>
    <n v="3"/>
    <n v="0"/>
    <n v="6551.7501000000002"/>
    <x v="1"/>
    <x v="0"/>
    <x v="1"/>
  </r>
  <r>
    <n v="1101"/>
    <n v="33"/>
    <n v="19.094999999999999"/>
    <n v="2"/>
    <n v="1"/>
    <n v="16776.304049999999"/>
    <x v="1"/>
    <x v="1"/>
    <x v="1"/>
  </r>
  <r>
    <n v="1119"/>
    <n v="33"/>
    <n v="35.75"/>
    <n v="1"/>
    <n v="1"/>
    <n v="38282.749499999998"/>
    <x v="0"/>
    <x v="1"/>
    <x v="0"/>
  </r>
  <r>
    <n v="1139"/>
    <n v="33"/>
    <n v="30.25"/>
    <n v="0"/>
    <n v="0"/>
    <n v="3704.3544999999999"/>
    <x v="0"/>
    <x v="0"/>
    <x v="0"/>
  </r>
  <r>
    <n v="1226"/>
    <n v="33"/>
    <n v="39.82"/>
    <n v="1"/>
    <n v="0"/>
    <n v="4795.6567999999997"/>
    <x v="0"/>
    <x v="0"/>
    <x v="1"/>
  </r>
  <r>
    <n v="1248"/>
    <n v="33"/>
    <n v="29.4"/>
    <n v="4"/>
    <n v="0"/>
    <n v="6059.1729999999998"/>
    <x v="2"/>
    <x v="0"/>
    <x v="0"/>
  </r>
  <r>
    <n v="1299"/>
    <n v="33"/>
    <n v="27.454999999999998"/>
    <n v="2"/>
    <n v="0"/>
    <n v="5261.4694499999996"/>
    <x v="3"/>
    <x v="0"/>
    <x v="0"/>
  </r>
  <r>
    <n v="1312"/>
    <n v="33"/>
    <n v="26.695"/>
    <n v="0"/>
    <n v="0"/>
    <n v="4571.4130500000001"/>
    <x v="3"/>
    <x v="0"/>
    <x v="1"/>
  </r>
  <r>
    <n v="24"/>
    <n v="34"/>
    <n v="31.92"/>
    <n v="1"/>
    <n v="1"/>
    <n v="37701.876799999998"/>
    <x v="1"/>
    <x v="1"/>
    <x v="1"/>
  </r>
  <r>
    <n v="60"/>
    <n v="34"/>
    <n v="37.335000000000001"/>
    <n v="2"/>
    <n v="0"/>
    <n v="5989.5236500000001"/>
    <x v="3"/>
    <x v="0"/>
    <x v="1"/>
  </r>
  <r>
    <n v="105"/>
    <n v="34"/>
    <n v="27.5"/>
    <n v="1"/>
    <n v="0"/>
    <n v="5003.8530000000001"/>
    <x v="2"/>
    <x v="0"/>
    <x v="1"/>
  </r>
  <r>
    <n v="141"/>
    <n v="34"/>
    <n v="22.42"/>
    <n v="2"/>
    <n v="0"/>
    <n v="27375.904780000001"/>
    <x v="1"/>
    <x v="0"/>
    <x v="0"/>
  </r>
  <r>
    <n v="143"/>
    <n v="34"/>
    <n v="25.3"/>
    <n v="2"/>
    <n v="1"/>
    <n v="18972.494999999999"/>
    <x v="0"/>
    <x v="1"/>
    <x v="0"/>
  </r>
  <r>
    <n v="214"/>
    <n v="34"/>
    <n v="26.73"/>
    <n v="1"/>
    <n v="0"/>
    <n v="5002.7826999999997"/>
    <x v="0"/>
    <x v="0"/>
    <x v="1"/>
  </r>
  <r>
    <n v="221"/>
    <n v="34"/>
    <n v="33.700000000000003"/>
    <n v="1"/>
    <n v="0"/>
    <n v="5012.4709999999995"/>
    <x v="2"/>
    <x v="0"/>
    <x v="1"/>
  </r>
  <r>
    <n v="321"/>
    <n v="34"/>
    <n v="25.27"/>
    <n v="1"/>
    <n v="0"/>
    <n v="4894.7533000000003"/>
    <x v="3"/>
    <x v="0"/>
    <x v="0"/>
  </r>
  <r>
    <n v="323"/>
    <n v="34"/>
    <n v="30.8"/>
    <n v="0"/>
    <n v="1"/>
    <n v="35491.64"/>
    <x v="2"/>
    <x v="1"/>
    <x v="0"/>
  </r>
  <r>
    <n v="346"/>
    <n v="34"/>
    <n v="29.26"/>
    <n v="3"/>
    <n v="0"/>
    <n v="6184.2993999999999"/>
    <x v="0"/>
    <x v="0"/>
    <x v="1"/>
  </r>
  <r>
    <n v="541"/>
    <n v="34"/>
    <n v="38"/>
    <n v="3"/>
    <n v="0"/>
    <n v="6196.4480000000003"/>
    <x v="2"/>
    <x v="0"/>
    <x v="1"/>
  </r>
  <r>
    <n v="558"/>
    <n v="34"/>
    <n v="34.21"/>
    <n v="0"/>
    <n v="0"/>
    <n v="3935.1799000000001"/>
    <x v="0"/>
    <x v="0"/>
    <x v="0"/>
  </r>
  <r>
    <n v="588"/>
    <n v="34"/>
    <n v="30.21"/>
    <n v="1"/>
    <n v="1"/>
    <n v="43943.876100000001"/>
    <x v="3"/>
    <x v="1"/>
    <x v="1"/>
  </r>
  <r>
    <n v="598"/>
    <n v="34"/>
    <n v="33.25"/>
    <n v="1"/>
    <n v="0"/>
    <n v="5594.8455000000004"/>
    <x v="1"/>
    <x v="0"/>
    <x v="1"/>
  </r>
  <r>
    <n v="614"/>
    <n v="34"/>
    <n v="19"/>
    <n v="3"/>
    <n v="0"/>
    <n v="6753.0379999999996"/>
    <x v="1"/>
    <x v="0"/>
    <x v="1"/>
  </r>
  <r>
    <n v="704"/>
    <n v="34"/>
    <n v="26.41"/>
    <n v="1"/>
    <n v="0"/>
    <n v="5385.3379000000004"/>
    <x v="3"/>
    <x v="0"/>
    <x v="1"/>
  </r>
  <r>
    <n v="747"/>
    <n v="34"/>
    <n v="27"/>
    <n v="2"/>
    <n v="0"/>
    <n v="11737.848840000001"/>
    <x v="2"/>
    <x v="0"/>
    <x v="0"/>
  </r>
  <r>
    <n v="924"/>
    <n v="34"/>
    <n v="35.814999999999998"/>
    <n v="0"/>
    <n v="0"/>
    <n v="4320.4108500000002"/>
    <x v="3"/>
    <x v="0"/>
    <x v="0"/>
  </r>
  <r>
    <n v="955"/>
    <n v="34"/>
    <n v="27.835000000000001"/>
    <n v="1"/>
    <n v="1"/>
    <n v="20009.63365"/>
    <x v="3"/>
    <x v="1"/>
    <x v="0"/>
  </r>
  <r>
    <n v="972"/>
    <n v="34"/>
    <n v="23.56"/>
    <n v="0"/>
    <n v="0"/>
    <n v="4992.3764000000001"/>
    <x v="1"/>
    <x v="0"/>
    <x v="1"/>
  </r>
  <r>
    <n v="982"/>
    <n v="34"/>
    <n v="21.375"/>
    <n v="0"/>
    <n v="0"/>
    <n v="4500.33925"/>
    <x v="1"/>
    <x v="0"/>
    <x v="0"/>
  </r>
  <r>
    <n v="989"/>
    <n v="34"/>
    <n v="34.674999999999997"/>
    <n v="0"/>
    <n v="0"/>
    <n v="4518.8262500000001"/>
    <x v="1"/>
    <x v="0"/>
    <x v="0"/>
  </r>
  <r>
    <n v="1129"/>
    <n v="34"/>
    <n v="32.799999999999997"/>
    <n v="1"/>
    <n v="0"/>
    <n v="14358.364369999999"/>
    <x v="2"/>
    <x v="0"/>
    <x v="0"/>
  </r>
  <r>
    <n v="1162"/>
    <n v="34"/>
    <n v="42.13"/>
    <n v="2"/>
    <n v="0"/>
    <n v="5124.1886999999997"/>
    <x v="0"/>
    <x v="0"/>
    <x v="0"/>
  </r>
  <r>
    <n v="1255"/>
    <n v="34"/>
    <n v="27.72"/>
    <n v="0"/>
    <n v="0"/>
    <n v="4415.1588000000002"/>
    <x v="0"/>
    <x v="0"/>
    <x v="1"/>
  </r>
  <r>
    <n v="1313"/>
    <n v="34"/>
    <n v="42.9"/>
    <n v="1"/>
    <n v="0"/>
    <n v="4536.259"/>
    <x v="2"/>
    <x v="0"/>
    <x v="0"/>
  </r>
  <r>
    <n v="39"/>
    <n v="35"/>
    <n v="36.67"/>
    <n v="1"/>
    <n v="1"/>
    <n v="39774.276299999998"/>
    <x v="1"/>
    <x v="1"/>
    <x v="0"/>
  </r>
  <r>
    <n v="94"/>
    <n v="35"/>
    <n v="34.770000000000003"/>
    <n v="2"/>
    <n v="0"/>
    <n v="5729.0052999999998"/>
    <x v="3"/>
    <x v="0"/>
    <x v="0"/>
  </r>
  <r>
    <n v="151"/>
    <n v="35"/>
    <n v="24.13"/>
    <n v="1"/>
    <n v="0"/>
    <n v="5125.2156999999997"/>
    <x v="3"/>
    <x v="0"/>
    <x v="0"/>
  </r>
  <r>
    <n v="174"/>
    <n v="35"/>
    <n v="34.799999999999997"/>
    <n v="1"/>
    <n v="0"/>
    <n v="5246.0469999999996"/>
    <x v="2"/>
    <x v="0"/>
    <x v="1"/>
  </r>
  <r>
    <n v="208"/>
    <n v="35"/>
    <n v="27.74"/>
    <n v="2"/>
    <n v="1"/>
    <n v="20984.0936"/>
    <x v="1"/>
    <x v="1"/>
    <x v="0"/>
  </r>
  <r>
    <n v="362"/>
    <n v="35"/>
    <n v="30.5"/>
    <n v="1"/>
    <n v="0"/>
    <n v="4751.07"/>
    <x v="2"/>
    <x v="0"/>
    <x v="0"/>
  </r>
  <r>
    <n v="384"/>
    <n v="35"/>
    <n v="43.34"/>
    <n v="2"/>
    <n v="0"/>
    <n v="5846.9175999999998"/>
    <x v="0"/>
    <x v="0"/>
    <x v="1"/>
  </r>
  <r>
    <n v="438"/>
    <n v="35"/>
    <n v="28.9"/>
    <n v="3"/>
    <n v="0"/>
    <n v="5926.8459999999995"/>
    <x v="2"/>
    <x v="0"/>
    <x v="0"/>
  </r>
  <r>
    <n v="450"/>
    <n v="35"/>
    <n v="38.6"/>
    <n v="1"/>
    <n v="0"/>
    <n v="4762.3289999999997"/>
    <x v="2"/>
    <x v="0"/>
    <x v="0"/>
  </r>
  <r>
    <n v="519"/>
    <n v="35"/>
    <n v="31"/>
    <n v="1"/>
    <n v="0"/>
    <n v="5240.7650000000003"/>
    <x v="2"/>
    <x v="0"/>
    <x v="1"/>
  </r>
  <r>
    <n v="559"/>
    <n v="35"/>
    <n v="34.104999999999997"/>
    <n v="3"/>
    <n v="1"/>
    <n v="39983.425949999997"/>
    <x v="3"/>
    <x v="1"/>
    <x v="1"/>
  </r>
  <r>
    <n v="638"/>
    <n v="35"/>
    <n v="38.094999999999999"/>
    <n v="2"/>
    <n v="0"/>
    <n v="24915.046259999999"/>
    <x v="1"/>
    <x v="0"/>
    <x v="1"/>
  </r>
  <r>
    <n v="731"/>
    <n v="35"/>
    <n v="24.42"/>
    <n v="3"/>
    <n v="1"/>
    <n v="19361.998800000001"/>
    <x v="0"/>
    <x v="1"/>
    <x v="0"/>
  </r>
  <r>
    <n v="779"/>
    <n v="35"/>
    <n v="34.32"/>
    <n v="3"/>
    <n v="0"/>
    <n v="5934.3797999999997"/>
    <x v="0"/>
    <x v="0"/>
    <x v="0"/>
  </r>
  <r>
    <n v="786"/>
    <n v="35"/>
    <n v="27.7"/>
    <n v="3"/>
    <n v="0"/>
    <n v="6414.1779999999999"/>
    <x v="2"/>
    <x v="0"/>
    <x v="1"/>
  </r>
  <r>
    <n v="839"/>
    <n v="35"/>
    <n v="23.465"/>
    <n v="2"/>
    <n v="0"/>
    <n v="6402.2913500000004"/>
    <x v="1"/>
    <x v="0"/>
    <x v="1"/>
  </r>
  <r>
    <n v="920"/>
    <n v="35"/>
    <n v="34.21"/>
    <n v="1"/>
    <n v="0"/>
    <n v="5245.2268999999997"/>
    <x v="0"/>
    <x v="0"/>
    <x v="1"/>
  </r>
  <r>
    <n v="966"/>
    <n v="35"/>
    <n v="27.1"/>
    <n v="1"/>
    <n v="0"/>
    <n v="4746.3440000000001"/>
    <x v="2"/>
    <x v="0"/>
    <x v="0"/>
  </r>
  <r>
    <n v="1041"/>
    <n v="35"/>
    <n v="28.024999999999999"/>
    <n v="0"/>
    <n v="1"/>
    <n v="20234.854749999999"/>
    <x v="3"/>
    <x v="1"/>
    <x v="1"/>
  </r>
  <r>
    <n v="1128"/>
    <n v="35"/>
    <n v="35.86"/>
    <n v="2"/>
    <n v="0"/>
    <n v="5836.5204000000003"/>
    <x v="0"/>
    <x v="0"/>
    <x v="1"/>
  </r>
  <r>
    <n v="1154"/>
    <n v="35"/>
    <n v="35.814999999999998"/>
    <n v="1"/>
    <n v="0"/>
    <n v="5630.4578499999998"/>
    <x v="3"/>
    <x v="0"/>
    <x v="1"/>
  </r>
  <r>
    <n v="1166"/>
    <n v="35"/>
    <n v="26.125"/>
    <n v="0"/>
    <n v="0"/>
    <n v="5227.9887500000004"/>
    <x v="1"/>
    <x v="0"/>
    <x v="1"/>
  </r>
  <r>
    <n v="1206"/>
    <n v="35"/>
    <n v="17.86"/>
    <n v="1"/>
    <n v="0"/>
    <n v="5116.5003999999999"/>
    <x v="3"/>
    <x v="0"/>
    <x v="0"/>
  </r>
  <r>
    <n v="1274"/>
    <n v="35"/>
    <n v="27.61"/>
    <n v="1"/>
    <n v="0"/>
    <n v="4747.0528999999997"/>
    <x v="0"/>
    <x v="0"/>
    <x v="0"/>
  </r>
  <r>
    <n v="1319"/>
    <n v="35"/>
    <n v="39.71"/>
    <n v="4"/>
    <n v="0"/>
    <n v="19496.71917"/>
    <x v="1"/>
    <x v="0"/>
    <x v="0"/>
  </r>
  <r>
    <n v="50"/>
    <n v="36"/>
    <n v="35.200000000000003"/>
    <n v="1"/>
    <n v="1"/>
    <n v="38709.175999999999"/>
    <x v="0"/>
    <x v="1"/>
    <x v="0"/>
  </r>
  <r>
    <n v="54"/>
    <n v="36"/>
    <n v="34.43"/>
    <n v="0"/>
    <n v="1"/>
    <n v="37742.575700000001"/>
    <x v="0"/>
    <x v="1"/>
    <x v="0"/>
  </r>
  <r>
    <n v="186"/>
    <n v="36"/>
    <n v="41.895000000000003"/>
    <n v="3"/>
    <n v="1"/>
    <n v="43753.337050000002"/>
    <x v="1"/>
    <x v="1"/>
    <x v="0"/>
  </r>
  <r>
    <n v="192"/>
    <n v="36"/>
    <n v="26.2"/>
    <n v="0"/>
    <n v="0"/>
    <n v="4883.866"/>
    <x v="2"/>
    <x v="0"/>
    <x v="1"/>
  </r>
  <r>
    <n v="301"/>
    <n v="36"/>
    <n v="27.55"/>
    <n v="3"/>
    <n v="0"/>
    <n v="6746.7425000000003"/>
    <x v="1"/>
    <x v="0"/>
    <x v="0"/>
  </r>
  <r>
    <n v="349"/>
    <n v="36"/>
    <n v="29.92"/>
    <n v="1"/>
    <n v="0"/>
    <n v="5478.0367999999999"/>
    <x v="0"/>
    <x v="0"/>
    <x v="1"/>
  </r>
  <r>
    <n v="418"/>
    <n v="36"/>
    <n v="22.6"/>
    <n v="2"/>
    <n v="1"/>
    <n v="18608.261999999999"/>
    <x v="2"/>
    <x v="1"/>
    <x v="1"/>
  </r>
  <r>
    <n v="627"/>
    <n v="36"/>
    <n v="28.88"/>
    <n v="3"/>
    <n v="0"/>
    <n v="6748.5911999999998"/>
    <x v="1"/>
    <x v="0"/>
    <x v="0"/>
  </r>
  <r>
    <n v="673"/>
    <n v="36"/>
    <n v="29.7"/>
    <n v="0"/>
    <n v="0"/>
    <n v="4399.7309999999998"/>
    <x v="0"/>
    <x v="0"/>
    <x v="0"/>
  </r>
  <r>
    <n v="710"/>
    <n v="36"/>
    <n v="27.74"/>
    <n v="0"/>
    <n v="0"/>
    <n v="5469.0065999999997"/>
    <x v="1"/>
    <x v="0"/>
    <x v="1"/>
  </r>
  <r>
    <n v="815"/>
    <n v="36"/>
    <n v="34.43"/>
    <n v="2"/>
    <n v="0"/>
    <n v="5584.3056999999999"/>
    <x v="0"/>
    <x v="0"/>
    <x v="0"/>
  </r>
  <r>
    <n v="828"/>
    <n v="36"/>
    <n v="28.024999999999999"/>
    <n v="1"/>
    <n v="1"/>
    <n v="20773.62775"/>
    <x v="1"/>
    <x v="1"/>
    <x v="0"/>
  </r>
  <r>
    <n v="832"/>
    <n v="36"/>
    <n v="25.84"/>
    <n v="0"/>
    <n v="0"/>
    <n v="5266.3656000000001"/>
    <x v="3"/>
    <x v="0"/>
    <x v="1"/>
  </r>
  <r>
    <n v="835"/>
    <n v="36"/>
    <n v="33.82"/>
    <n v="1"/>
    <n v="0"/>
    <n v="5377.4578000000001"/>
    <x v="3"/>
    <x v="0"/>
    <x v="0"/>
  </r>
  <r>
    <n v="837"/>
    <n v="36"/>
    <n v="31.5"/>
    <n v="0"/>
    <n v="0"/>
    <n v="4402.2330000000002"/>
    <x v="2"/>
    <x v="0"/>
    <x v="0"/>
  </r>
  <r>
    <n v="864"/>
    <n v="36"/>
    <n v="19.855"/>
    <n v="0"/>
    <n v="0"/>
    <n v="5458.0464499999998"/>
    <x v="1"/>
    <x v="0"/>
    <x v="1"/>
  </r>
  <r>
    <n v="888"/>
    <n v="36"/>
    <n v="30.02"/>
    <n v="0"/>
    <n v="0"/>
    <n v="5272.1758"/>
    <x v="3"/>
    <x v="0"/>
    <x v="1"/>
  </r>
  <r>
    <n v="892"/>
    <n v="36"/>
    <n v="29.04"/>
    <n v="4"/>
    <n v="0"/>
    <n v="7243.8136000000004"/>
    <x v="0"/>
    <x v="0"/>
    <x v="1"/>
  </r>
  <r>
    <n v="980"/>
    <n v="36"/>
    <n v="29.92"/>
    <n v="0"/>
    <n v="0"/>
    <n v="4889.0367999999999"/>
    <x v="0"/>
    <x v="0"/>
    <x v="1"/>
  </r>
  <r>
    <n v="1000"/>
    <n v="36"/>
    <n v="26.885000000000002"/>
    <n v="0"/>
    <n v="0"/>
    <n v="5267.8181500000001"/>
    <x v="3"/>
    <x v="0"/>
    <x v="1"/>
  </r>
  <r>
    <n v="1064"/>
    <n v="36"/>
    <n v="28.594999999999999"/>
    <n v="3"/>
    <n v="0"/>
    <n v="6548.1950500000003"/>
    <x v="3"/>
    <x v="0"/>
    <x v="0"/>
  </r>
  <r>
    <n v="1156"/>
    <n v="36"/>
    <n v="22.135000000000002"/>
    <n v="3"/>
    <n v="0"/>
    <n v="7228.2156500000001"/>
    <x v="1"/>
    <x v="0"/>
    <x v="1"/>
  </r>
  <r>
    <n v="1208"/>
    <n v="36"/>
    <n v="33.4"/>
    <n v="2"/>
    <n v="1"/>
    <n v="38415.474000000002"/>
    <x v="2"/>
    <x v="1"/>
    <x v="0"/>
  </r>
  <r>
    <n v="1211"/>
    <n v="36"/>
    <n v="30.875"/>
    <n v="1"/>
    <n v="0"/>
    <n v="5373.3642499999996"/>
    <x v="3"/>
    <x v="0"/>
    <x v="0"/>
  </r>
  <r>
    <n v="1288"/>
    <n v="36"/>
    <n v="25.9"/>
    <n v="1"/>
    <n v="0"/>
    <n v="5472.4489999999996"/>
    <x v="2"/>
    <x v="0"/>
    <x v="1"/>
  </r>
  <r>
    <n v="8"/>
    <n v="37"/>
    <n v="27.74"/>
    <n v="3"/>
    <n v="0"/>
    <n v="7281.5056000000004"/>
    <x v="3"/>
    <x v="0"/>
    <x v="1"/>
  </r>
  <r>
    <n v="9"/>
    <n v="37"/>
    <n v="29.83"/>
    <n v="2"/>
    <n v="0"/>
    <n v="6406.4107000000004"/>
    <x v="1"/>
    <x v="0"/>
    <x v="0"/>
  </r>
  <r>
    <n v="25"/>
    <n v="37"/>
    <n v="28.024999999999999"/>
    <n v="2"/>
    <n v="0"/>
    <n v="6203.90175"/>
    <x v="3"/>
    <x v="0"/>
    <x v="0"/>
  </r>
  <r>
    <n v="44"/>
    <n v="37"/>
    <n v="30.8"/>
    <n v="2"/>
    <n v="0"/>
    <n v="6313.759"/>
    <x v="0"/>
    <x v="0"/>
    <x v="1"/>
  </r>
  <r>
    <n v="85"/>
    <n v="37"/>
    <n v="34.799999999999997"/>
    <n v="2"/>
    <n v="1"/>
    <n v="39836.519"/>
    <x v="2"/>
    <x v="1"/>
    <x v="1"/>
  </r>
  <r>
    <n v="113"/>
    <n v="37"/>
    <n v="30.8"/>
    <n v="0"/>
    <n v="0"/>
    <n v="4646.759"/>
    <x v="2"/>
    <x v="0"/>
    <x v="0"/>
  </r>
  <r>
    <n v="120"/>
    <n v="37"/>
    <n v="23.37"/>
    <n v="2"/>
    <n v="0"/>
    <n v="6686.4313000000002"/>
    <x v="3"/>
    <x v="0"/>
    <x v="1"/>
  </r>
  <r>
    <n v="165"/>
    <n v="37"/>
    <n v="29.64"/>
    <n v="0"/>
    <n v="0"/>
    <n v="5028.1466"/>
    <x v="3"/>
    <x v="0"/>
    <x v="0"/>
  </r>
  <r>
    <n v="506"/>
    <n v="37"/>
    <n v="30.875"/>
    <n v="3"/>
    <n v="0"/>
    <n v="6796.8632500000003"/>
    <x v="3"/>
    <x v="0"/>
    <x v="0"/>
  </r>
  <r>
    <n v="534"/>
    <n v="37"/>
    <n v="36.19"/>
    <n v="0"/>
    <n v="0"/>
    <n v="19214.705529999999"/>
    <x v="0"/>
    <x v="0"/>
    <x v="0"/>
  </r>
  <r>
    <n v="622"/>
    <n v="37"/>
    <n v="34.1"/>
    <n v="4"/>
    <n v="1"/>
    <n v="40182.245999999999"/>
    <x v="2"/>
    <x v="1"/>
    <x v="0"/>
  </r>
  <r>
    <n v="661"/>
    <n v="37"/>
    <n v="46.53"/>
    <n v="3"/>
    <n v="0"/>
    <n v="6435.6237000000001"/>
    <x v="0"/>
    <x v="0"/>
    <x v="0"/>
  </r>
  <r>
    <n v="737"/>
    <n v="37"/>
    <n v="38.39"/>
    <n v="0"/>
    <n v="1"/>
    <n v="40419.019099999998"/>
    <x v="0"/>
    <x v="1"/>
    <x v="1"/>
  </r>
  <r>
    <n v="751"/>
    <n v="37"/>
    <n v="26.4"/>
    <n v="0"/>
    <n v="1"/>
    <n v="19539.242999999999"/>
    <x v="0"/>
    <x v="1"/>
    <x v="1"/>
  </r>
  <r>
    <n v="851"/>
    <n v="37"/>
    <n v="30.78"/>
    <n v="0"/>
    <n v="1"/>
    <n v="37270.1512"/>
    <x v="1"/>
    <x v="1"/>
    <x v="1"/>
  </r>
  <r>
    <n v="861"/>
    <n v="37"/>
    <n v="47.6"/>
    <n v="2"/>
    <n v="1"/>
    <n v="46113.510999999999"/>
    <x v="2"/>
    <x v="1"/>
    <x v="1"/>
  </r>
  <r>
    <n v="880"/>
    <n v="37"/>
    <n v="29.5"/>
    <n v="2"/>
    <n v="0"/>
    <n v="6311.9520000000002"/>
    <x v="2"/>
    <x v="0"/>
    <x v="1"/>
  </r>
  <r>
    <n v="948"/>
    <n v="37"/>
    <n v="34.200000000000003"/>
    <n v="1"/>
    <n v="1"/>
    <n v="39047.285000000003"/>
    <x v="1"/>
    <x v="1"/>
    <x v="0"/>
  </r>
  <r>
    <n v="1030"/>
    <n v="37"/>
    <n v="17.29"/>
    <n v="2"/>
    <n v="0"/>
    <n v="6877.9800999999998"/>
    <x v="1"/>
    <x v="0"/>
    <x v="1"/>
  </r>
  <r>
    <n v="1071"/>
    <n v="37"/>
    <n v="37.07"/>
    <n v="1"/>
    <n v="1"/>
    <n v="39871.704299999998"/>
    <x v="0"/>
    <x v="1"/>
    <x v="0"/>
  </r>
  <r>
    <n v="1105"/>
    <n v="37"/>
    <n v="29.8"/>
    <n v="0"/>
    <n v="0"/>
    <n v="20420.604650000001"/>
    <x v="2"/>
    <x v="0"/>
    <x v="0"/>
  </r>
  <r>
    <n v="1170"/>
    <n v="37"/>
    <n v="34.104999999999997"/>
    <n v="1"/>
    <n v="0"/>
    <n v="6112.3529500000004"/>
    <x v="3"/>
    <x v="0"/>
    <x v="1"/>
  </r>
  <r>
    <n v="1201"/>
    <n v="37"/>
    <n v="24.32"/>
    <n v="2"/>
    <n v="0"/>
    <n v="6198.7518"/>
    <x v="3"/>
    <x v="0"/>
    <x v="0"/>
  </r>
  <r>
    <n v="1209"/>
    <n v="37"/>
    <n v="25.555"/>
    <n v="1"/>
    <n v="1"/>
    <n v="20296.863450000001"/>
    <x v="1"/>
    <x v="1"/>
    <x v="1"/>
  </r>
  <r>
    <n v="1239"/>
    <n v="37"/>
    <n v="22.704999999999998"/>
    <n v="3"/>
    <n v="0"/>
    <n v="6985.50695"/>
    <x v="1"/>
    <x v="0"/>
    <x v="0"/>
  </r>
  <r>
    <n v="45"/>
    <n v="38"/>
    <n v="37.049999999999997"/>
    <n v="1"/>
    <n v="0"/>
    <n v="6079.6715000000004"/>
    <x v="1"/>
    <x v="0"/>
    <x v="0"/>
  </r>
  <r>
    <n v="100"/>
    <n v="38"/>
    <n v="19.3"/>
    <n v="0"/>
    <n v="1"/>
    <n v="15820.699000000001"/>
    <x v="2"/>
    <x v="1"/>
    <x v="0"/>
  </r>
  <r>
    <n v="130"/>
    <n v="38"/>
    <n v="34.700000000000003"/>
    <n v="2"/>
    <n v="0"/>
    <n v="6082.4049999999997"/>
    <x v="2"/>
    <x v="0"/>
    <x v="0"/>
  </r>
  <r>
    <n v="177"/>
    <n v="38"/>
    <n v="27.835000000000001"/>
    <n v="2"/>
    <n v="0"/>
    <n v="6455.86265"/>
    <x v="3"/>
    <x v="0"/>
    <x v="0"/>
  </r>
  <r>
    <n v="258"/>
    <n v="38"/>
    <n v="40.15"/>
    <n v="0"/>
    <n v="0"/>
    <n v="5400.9804999999997"/>
    <x v="0"/>
    <x v="0"/>
    <x v="1"/>
  </r>
  <r>
    <n v="409"/>
    <n v="38"/>
    <n v="21.12"/>
    <n v="3"/>
    <n v="0"/>
    <n v="6652.5288"/>
    <x v="0"/>
    <x v="0"/>
    <x v="0"/>
  </r>
  <r>
    <n v="427"/>
    <n v="38"/>
    <n v="27.265000000000001"/>
    <n v="1"/>
    <n v="0"/>
    <n v="6555.07035"/>
    <x v="1"/>
    <x v="0"/>
    <x v="1"/>
  </r>
  <r>
    <n v="505"/>
    <n v="38"/>
    <n v="28.93"/>
    <n v="1"/>
    <n v="0"/>
    <n v="5974.3846999999996"/>
    <x v="0"/>
    <x v="0"/>
    <x v="1"/>
  </r>
  <r>
    <n v="524"/>
    <n v="38"/>
    <n v="37.729999999999997"/>
    <n v="0"/>
    <n v="0"/>
    <n v="5397.6166999999996"/>
    <x v="0"/>
    <x v="0"/>
    <x v="1"/>
  </r>
  <r>
    <n v="536"/>
    <n v="38"/>
    <n v="28.024999999999999"/>
    <n v="1"/>
    <n v="0"/>
    <n v="6067.1267500000004"/>
    <x v="1"/>
    <x v="0"/>
    <x v="0"/>
  </r>
  <r>
    <n v="567"/>
    <n v="38"/>
    <n v="40.564999999999998"/>
    <n v="1"/>
    <n v="0"/>
    <n v="6373.55735"/>
    <x v="3"/>
    <x v="0"/>
    <x v="1"/>
  </r>
  <r>
    <n v="590"/>
    <n v="38"/>
    <n v="30.69"/>
    <n v="1"/>
    <n v="0"/>
    <n v="5976.8311000000003"/>
    <x v="0"/>
    <x v="0"/>
    <x v="1"/>
  </r>
  <r>
    <n v="612"/>
    <n v="38"/>
    <n v="34.799999999999997"/>
    <n v="2"/>
    <n v="0"/>
    <n v="6571.5439999999999"/>
    <x v="2"/>
    <x v="0"/>
    <x v="1"/>
  </r>
  <r>
    <n v="770"/>
    <n v="38"/>
    <n v="19.475000000000001"/>
    <n v="2"/>
    <n v="0"/>
    <n v="6933.2422500000002"/>
    <x v="3"/>
    <x v="0"/>
    <x v="1"/>
  </r>
  <r>
    <n v="862"/>
    <n v="38"/>
    <n v="28"/>
    <n v="3"/>
    <n v="0"/>
    <n v="7151.0919999999996"/>
    <x v="2"/>
    <x v="0"/>
    <x v="1"/>
  </r>
  <r>
    <n v="923"/>
    <n v="38"/>
    <n v="31"/>
    <n v="1"/>
    <n v="0"/>
    <n v="5488.2619999999997"/>
    <x v="2"/>
    <x v="0"/>
    <x v="0"/>
  </r>
  <r>
    <n v="992"/>
    <n v="38"/>
    <n v="27.835000000000001"/>
    <n v="2"/>
    <n v="0"/>
    <n v="7144.86265"/>
    <x v="1"/>
    <x v="0"/>
    <x v="1"/>
  </r>
  <r>
    <n v="994"/>
    <n v="38"/>
    <n v="28.27"/>
    <n v="1"/>
    <n v="0"/>
    <n v="5484.4673000000003"/>
    <x v="0"/>
    <x v="0"/>
    <x v="0"/>
  </r>
  <r>
    <n v="1015"/>
    <n v="38"/>
    <n v="27.6"/>
    <n v="0"/>
    <n v="0"/>
    <n v="5383.5360000000001"/>
    <x v="2"/>
    <x v="0"/>
    <x v="1"/>
  </r>
  <r>
    <n v="1083"/>
    <n v="38"/>
    <n v="19.95"/>
    <n v="1"/>
    <n v="0"/>
    <n v="5855.9025000000001"/>
    <x v="3"/>
    <x v="0"/>
    <x v="0"/>
  </r>
  <r>
    <n v="1112"/>
    <n v="38"/>
    <n v="38.39"/>
    <n v="3"/>
    <n v="1"/>
    <n v="41949.244100000004"/>
    <x v="0"/>
    <x v="1"/>
    <x v="0"/>
  </r>
  <r>
    <n v="1174"/>
    <n v="38"/>
    <n v="29.26"/>
    <n v="2"/>
    <n v="0"/>
    <n v="6457.8433999999997"/>
    <x v="3"/>
    <x v="0"/>
    <x v="0"/>
  </r>
  <r>
    <n v="1220"/>
    <n v="38"/>
    <n v="30.21"/>
    <n v="3"/>
    <n v="0"/>
    <n v="7537.1638999999996"/>
    <x v="3"/>
    <x v="0"/>
    <x v="1"/>
  </r>
  <r>
    <n v="1227"/>
    <n v="38"/>
    <n v="16.815000000000001"/>
    <n v="2"/>
    <n v="0"/>
    <n v="6640.5448500000002"/>
    <x v="1"/>
    <x v="0"/>
    <x v="0"/>
  </r>
  <r>
    <n v="1291"/>
    <n v="38"/>
    <n v="19.95"/>
    <n v="2"/>
    <n v="0"/>
    <n v="7133.9025000000001"/>
    <x v="1"/>
    <x v="0"/>
    <x v="1"/>
  </r>
  <r>
    <n v="197"/>
    <n v="39"/>
    <n v="32.799999999999997"/>
    <n v="0"/>
    <n v="0"/>
    <n v="5649.7150000000001"/>
    <x v="2"/>
    <x v="0"/>
    <x v="1"/>
  </r>
  <r>
    <n v="235"/>
    <n v="39"/>
    <n v="24.51"/>
    <n v="2"/>
    <n v="0"/>
    <n v="6710.1918999999998"/>
    <x v="3"/>
    <x v="0"/>
    <x v="0"/>
  </r>
  <r>
    <n v="377"/>
    <n v="39"/>
    <n v="24.89"/>
    <n v="3"/>
    <n v="1"/>
    <n v="21659.930100000001"/>
    <x v="1"/>
    <x v="1"/>
    <x v="1"/>
  </r>
  <r>
    <n v="451"/>
    <n v="39"/>
    <n v="29.6"/>
    <n v="4"/>
    <n v="0"/>
    <n v="7512.2669999999998"/>
    <x v="2"/>
    <x v="0"/>
    <x v="0"/>
  </r>
  <r>
    <n v="515"/>
    <n v="39"/>
    <n v="28.3"/>
    <n v="1"/>
    <n v="1"/>
    <n v="21082.16"/>
    <x v="2"/>
    <x v="1"/>
    <x v="0"/>
  </r>
  <r>
    <n v="583"/>
    <n v="39"/>
    <n v="45.43"/>
    <n v="2"/>
    <n v="0"/>
    <n v="6356.2707"/>
    <x v="0"/>
    <x v="0"/>
    <x v="0"/>
  </r>
  <r>
    <n v="639"/>
    <n v="39"/>
    <n v="26.41"/>
    <n v="0"/>
    <n v="1"/>
    <n v="20149.322899999999"/>
    <x v="1"/>
    <x v="1"/>
    <x v="0"/>
  </r>
  <r>
    <n v="647"/>
    <n v="39"/>
    <n v="26.22"/>
    <n v="1"/>
    <n v="0"/>
    <n v="6123.5688"/>
    <x v="3"/>
    <x v="0"/>
    <x v="0"/>
  </r>
  <r>
    <n v="683"/>
    <n v="39"/>
    <n v="35.299999999999997"/>
    <n v="2"/>
    <n v="1"/>
    <n v="40103.89"/>
    <x v="2"/>
    <x v="1"/>
    <x v="0"/>
  </r>
  <r>
    <n v="757"/>
    <n v="39"/>
    <n v="22.8"/>
    <n v="3"/>
    <n v="0"/>
    <n v="7985.8149999999996"/>
    <x v="1"/>
    <x v="0"/>
    <x v="1"/>
  </r>
  <r>
    <n v="791"/>
    <n v="39"/>
    <n v="41.8"/>
    <n v="0"/>
    <n v="0"/>
    <n v="5662.2250000000004"/>
    <x v="0"/>
    <x v="0"/>
    <x v="1"/>
  </r>
  <r>
    <n v="795"/>
    <n v="39"/>
    <n v="31.92"/>
    <n v="2"/>
    <n v="0"/>
    <n v="7209.4917999999998"/>
    <x v="3"/>
    <x v="0"/>
    <x v="1"/>
  </r>
  <r>
    <n v="830"/>
    <n v="39"/>
    <n v="21.85"/>
    <n v="1"/>
    <n v="0"/>
    <n v="6117.4944999999998"/>
    <x v="3"/>
    <x v="0"/>
    <x v="0"/>
  </r>
  <r>
    <n v="932"/>
    <n v="39"/>
    <n v="32.5"/>
    <n v="1"/>
    <n v="0"/>
    <n v="6238.2979999999998"/>
    <x v="2"/>
    <x v="0"/>
    <x v="1"/>
  </r>
  <r>
    <n v="938"/>
    <n v="39"/>
    <n v="24.225000000000001"/>
    <n v="5"/>
    <n v="0"/>
    <n v="8965.7957499999993"/>
    <x v="3"/>
    <x v="0"/>
    <x v="1"/>
  </r>
  <r>
    <n v="970"/>
    <n v="39"/>
    <n v="34.32"/>
    <n v="5"/>
    <n v="0"/>
    <n v="8596.8277999999991"/>
    <x v="0"/>
    <x v="0"/>
    <x v="1"/>
  </r>
  <r>
    <n v="996"/>
    <n v="39"/>
    <n v="23.274999999999999"/>
    <n v="3"/>
    <n v="0"/>
    <n v="7986.4752500000004"/>
    <x v="1"/>
    <x v="0"/>
    <x v="1"/>
  </r>
  <r>
    <n v="997"/>
    <n v="39"/>
    <n v="34.1"/>
    <n v="3"/>
    <n v="0"/>
    <n v="7418.5219999999999"/>
    <x v="2"/>
    <x v="0"/>
    <x v="1"/>
  </r>
  <r>
    <n v="1068"/>
    <n v="39"/>
    <n v="42.655000000000001"/>
    <n v="0"/>
    <n v="0"/>
    <n v="5757.41345"/>
    <x v="1"/>
    <x v="0"/>
    <x v="0"/>
  </r>
  <r>
    <n v="1086"/>
    <n v="39"/>
    <n v="18.3"/>
    <n v="5"/>
    <n v="1"/>
    <n v="19023.259999999998"/>
    <x v="2"/>
    <x v="1"/>
    <x v="1"/>
  </r>
  <r>
    <n v="1131"/>
    <n v="39"/>
    <n v="23.87"/>
    <n v="5"/>
    <n v="0"/>
    <n v="8582.3022999999994"/>
    <x v="0"/>
    <x v="0"/>
    <x v="1"/>
  </r>
  <r>
    <n v="1144"/>
    <n v="39"/>
    <n v="32.340000000000003"/>
    <n v="2"/>
    <n v="0"/>
    <n v="6338.0756000000001"/>
    <x v="0"/>
    <x v="0"/>
    <x v="0"/>
  </r>
  <r>
    <n v="1212"/>
    <n v="39"/>
    <n v="34.1"/>
    <n v="2"/>
    <n v="0"/>
    <n v="23563.016179999999"/>
    <x v="0"/>
    <x v="0"/>
    <x v="0"/>
  </r>
  <r>
    <n v="1279"/>
    <n v="39"/>
    <n v="29.925000000000001"/>
    <n v="1"/>
    <n v="1"/>
    <n v="22462.043750000001"/>
    <x v="1"/>
    <x v="1"/>
    <x v="0"/>
  </r>
  <r>
    <n v="1320"/>
    <n v="39"/>
    <n v="26.315000000000001"/>
    <n v="2"/>
    <n v="0"/>
    <n v="7201.7008500000002"/>
    <x v="3"/>
    <x v="0"/>
    <x v="1"/>
  </r>
  <r>
    <n v="55"/>
    <n v="40"/>
    <n v="28.69"/>
    <n v="3"/>
    <n v="0"/>
    <n v="8059.6791000000003"/>
    <x v="3"/>
    <x v="0"/>
    <x v="1"/>
  </r>
  <r>
    <n v="68"/>
    <n v="40"/>
    <n v="26.315000000000001"/>
    <n v="1"/>
    <n v="0"/>
    <n v="6389.3778499999999"/>
    <x v="3"/>
    <x v="0"/>
    <x v="0"/>
  </r>
  <r>
    <n v="69"/>
    <n v="40"/>
    <n v="36.19"/>
    <n v="0"/>
    <n v="0"/>
    <n v="5920.1040999999996"/>
    <x v="0"/>
    <x v="0"/>
    <x v="1"/>
  </r>
  <r>
    <n v="155"/>
    <n v="40"/>
    <n v="25.46"/>
    <n v="1"/>
    <n v="0"/>
    <n v="7077.1894000000002"/>
    <x v="1"/>
    <x v="0"/>
    <x v="1"/>
  </r>
  <r>
    <n v="210"/>
    <n v="40"/>
    <n v="41.23"/>
    <n v="1"/>
    <n v="0"/>
    <n v="6610.1097"/>
    <x v="1"/>
    <x v="0"/>
    <x v="0"/>
  </r>
  <r>
    <n v="212"/>
    <n v="40"/>
    <n v="30.875"/>
    <n v="4"/>
    <n v="0"/>
    <n v="8162.7162500000004"/>
    <x v="3"/>
    <x v="0"/>
    <x v="0"/>
  </r>
  <r>
    <n v="236"/>
    <n v="40"/>
    <n v="22.22"/>
    <n v="2"/>
    <n v="1"/>
    <n v="19444.265800000001"/>
    <x v="0"/>
    <x v="1"/>
    <x v="1"/>
  </r>
  <r>
    <n v="244"/>
    <n v="40"/>
    <n v="35.299999999999997"/>
    <n v="3"/>
    <n v="0"/>
    <n v="7196.8670000000002"/>
    <x v="2"/>
    <x v="0"/>
    <x v="0"/>
  </r>
  <r>
    <n v="267"/>
    <n v="40"/>
    <n v="19.8"/>
    <n v="1"/>
    <n v="1"/>
    <n v="17179.522000000001"/>
    <x v="0"/>
    <x v="1"/>
    <x v="0"/>
  </r>
  <r>
    <n v="281"/>
    <n v="40"/>
    <n v="28.12"/>
    <n v="1"/>
    <n v="1"/>
    <n v="22331.566800000001"/>
    <x v="1"/>
    <x v="1"/>
    <x v="1"/>
  </r>
  <r>
    <n v="326"/>
    <n v="40"/>
    <n v="34.104999999999997"/>
    <n v="1"/>
    <n v="0"/>
    <n v="6600.2059499999996"/>
    <x v="1"/>
    <x v="0"/>
    <x v="0"/>
  </r>
  <r>
    <n v="423"/>
    <n v="40"/>
    <n v="32.774999999999999"/>
    <n v="1"/>
    <n v="1"/>
    <n v="39125.332249999999"/>
    <x v="1"/>
    <x v="1"/>
    <x v="0"/>
  </r>
  <r>
    <n v="449"/>
    <n v="40"/>
    <n v="29.6"/>
    <n v="0"/>
    <n v="0"/>
    <n v="5910.9440000000004"/>
    <x v="2"/>
    <x v="0"/>
    <x v="1"/>
  </r>
  <r>
    <n v="460"/>
    <n v="40"/>
    <n v="33"/>
    <n v="3"/>
    <n v="0"/>
    <n v="7682.67"/>
    <x v="0"/>
    <x v="0"/>
    <x v="1"/>
  </r>
  <r>
    <n v="634"/>
    <n v="40"/>
    <n v="22.704999999999998"/>
    <n v="2"/>
    <n v="0"/>
    <n v="7173.35995"/>
    <x v="1"/>
    <x v="0"/>
    <x v="0"/>
  </r>
  <r>
    <n v="648"/>
    <n v="40"/>
    <n v="23.37"/>
    <n v="3"/>
    <n v="0"/>
    <n v="8252.2842999999993"/>
    <x v="1"/>
    <x v="0"/>
    <x v="1"/>
  </r>
  <r>
    <n v="668"/>
    <n v="40"/>
    <n v="32.774999999999999"/>
    <n v="2"/>
    <n v="1"/>
    <n v="40003.332249999999"/>
    <x v="3"/>
    <x v="1"/>
    <x v="1"/>
  </r>
  <r>
    <n v="670"/>
    <n v="40"/>
    <n v="29.81"/>
    <n v="1"/>
    <n v="0"/>
    <n v="6500.2358999999997"/>
    <x v="0"/>
    <x v="0"/>
    <x v="1"/>
  </r>
  <r>
    <n v="688"/>
    <n v="40"/>
    <n v="41.69"/>
    <n v="0"/>
    <n v="0"/>
    <n v="5438.7491"/>
    <x v="0"/>
    <x v="0"/>
    <x v="0"/>
  </r>
  <r>
    <n v="777"/>
    <n v="40"/>
    <n v="32.299999999999997"/>
    <n v="2"/>
    <n v="0"/>
    <n v="6986.6970000000001"/>
    <x v="3"/>
    <x v="0"/>
    <x v="0"/>
  </r>
  <r>
    <n v="807"/>
    <n v="40"/>
    <n v="41.42"/>
    <n v="1"/>
    <n v="0"/>
    <n v="28476.734990000001"/>
    <x v="3"/>
    <x v="0"/>
    <x v="1"/>
  </r>
  <r>
    <n v="866"/>
    <n v="40"/>
    <n v="29.9"/>
    <n v="2"/>
    <n v="0"/>
    <n v="6600.3609999999999"/>
    <x v="2"/>
    <x v="0"/>
    <x v="0"/>
  </r>
  <r>
    <n v="1178"/>
    <n v="40"/>
    <n v="27.4"/>
    <n v="1"/>
    <n v="0"/>
    <n v="6496.8860000000004"/>
    <x v="2"/>
    <x v="0"/>
    <x v="1"/>
  </r>
  <r>
    <n v="1199"/>
    <n v="40"/>
    <n v="29.355"/>
    <n v="1"/>
    <n v="0"/>
    <n v="6393.6034499999996"/>
    <x v="3"/>
    <x v="0"/>
    <x v="0"/>
  </r>
  <r>
    <n v="1217"/>
    <n v="40"/>
    <n v="25.08"/>
    <n v="0"/>
    <n v="0"/>
    <n v="5415.6611999999996"/>
    <x v="0"/>
    <x v="0"/>
    <x v="0"/>
  </r>
  <r>
    <n v="1222"/>
    <n v="40"/>
    <n v="24.97"/>
    <n v="2"/>
    <n v="0"/>
    <n v="6593.5083000000004"/>
    <x v="0"/>
    <x v="0"/>
    <x v="0"/>
  </r>
  <r>
    <n v="1254"/>
    <n v="40"/>
    <n v="29.3"/>
    <n v="4"/>
    <n v="0"/>
    <n v="15828.82173"/>
    <x v="2"/>
    <x v="0"/>
    <x v="1"/>
  </r>
  <r>
    <n v="43"/>
    <n v="41"/>
    <n v="21.78"/>
    <n v="1"/>
    <n v="0"/>
    <n v="6272.4772000000003"/>
    <x v="0"/>
    <x v="0"/>
    <x v="0"/>
  </r>
  <r>
    <n v="80"/>
    <n v="41"/>
    <n v="32.965000000000003"/>
    <n v="0"/>
    <n v="0"/>
    <n v="6571.0243499999997"/>
    <x v="3"/>
    <x v="0"/>
    <x v="1"/>
  </r>
  <r>
    <n v="101"/>
    <n v="41"/>
    <n v="31.6"/>
    <n v="0"/>
    <n v="0"/>
    <n v="6186.1270000000004"/>
    <x v="2"/>
    <x v="0"/>
    <x v="1"/>
  </r>
  <r>
    <n v="180"/>
    <n v="41"/>
    <n v="33.155000000000001"/>
    <n v="3"/>
    <n v="0"/>
    <n v="8538.28845"/>
    <x v="1"/>
    <x v="0"/>
    <x v="1"/>
  </r>
  <r>
    <n v="189"/>
    <n v="41"/>
    <n v="32.200000000000003"/>
    <n v="1"/>
    <n v="0"/>
    <n v="6775.9610000000002"/>
    <x v="2"/>
    <x v="0"/>
    <x v="1"/>
  </r>
  <r>
    <n v="216"/>
    <n v="41"/>
    <n v="37.1"/>
    <n v="2"/>
    <n v="0"/>
    <n v="7371.7719999999999"/>
    <x v="2"/>
    <x v="0"/>
    <x v="1"/>
  </r>
  <r>
    <n v="229"/>
    <n v="41"/>
    <n v="31.635000000000002"/>
    <n v="1"/>
    <n v="0"/>
    <n v="7358.1756500000001"/>
    <x v="1"/>
    <x v="0"/>
    <x v="1"/>
  </r>
  <r>
    <n v="273"/>
    <n v="41"/>
    <n v="37.049999999999997"/>
    <n v="2"/>
    <n v="0"/>
    <n v="7265.7025000000003"/>
    <x v="3"/>
    <x v="0"/>
    <x v="0"/>
  </r>
  <r>
    <n v="310"/>
    <n v="41"/>
    <n v="33.06"/>
    <n v="2"/>
    <n v="0"/>
    <n v="7749.1563999999998"/>
    <x v="3"/>
    <x v="0"/>
    <x v="1"/>
  </r>
  <r>
    <n v="568"/>
    <n v="41"/>
    <n v="30.59"/>
    <n v="2"/>
    <n v="0"/>
    <n v="7256.7231000000002"/>
    <x v="3"/>
    <x v="0"/>
    <x v="0"/>
  </r>
  <r>
    <n v="595"/>
    <n v="41"/>
    <n v="40.26"/>
    <n v="0"/>
    <n v="0"/>
    <n v="5709.1643999999997"/>
    <x v="0"/>
    <x v="0"/>
    <x v="0"/>
  </r>
  <r>
    <n v="674"/>
    <n v="41"/>
    <n v="31.02"/>
    <n v="0"/>
    <n v="0"/>
    <n v="6185.3208000000004"/>
    <x v="0"/>
    <x v="0"/>
    <x v="1"/>
  </r>
  <r>
    <n v="698"/>
    <n v="41"/>
    <n v="35.75"/>
    <n v="1"/>
    <n v="1"/>
    <n v="40273.645499999999"/>
    <x v="0"/>
    <x v="1"/>
    <x v="0"/>
  </r>
  <r>
    <n v="727"/>
    <n v="41"/>
    <n v="28.405000000000001"/>
    <n v="1"/>
    <n v="0"/>
    <n v="6664.68595"/>
    <x v="3"/>
    <x v="0"/>
    <x v="0"/>
  </r>
  <r>
    <n v="730"/>
    <n v="41"/>
    <n v="36.08"/>
    <n v="1"/>
    <n v="0"/>
    <n v="6781.3541999999998"/>
    <x v="0"/>
    <x v="0"/>
    <x v="1"/>
  </r>
  <r>
    <n v="775"/>
    <n v="41"/>
    <n v="34.200000000000003"/>
    <n v="2"/>
    <n v="0"/>
    <n v="7261.741"/>
    <x v="3"/>
    <x v="0"/>
    <x v="0"/>
  </r>
  <r>
    <n v="829"/>
    <n v="41"/>
    <n v="30.78"/>
    <n v="3"/>
    <n v="1"/>
    <n v="39597.407200000001"/>
    <x v="1"/>
    <x v="1"/>
    <x v="0"/>
  </r>
  <r>
    <n v="879"/>
    <n v="41"/>
    <n v="28.8"/>
    <n v="1"/>
    <n v="0"/>
    <n v="6282.2349999999997"/>
    <x v="2"/>
    <x v="0"/>
    <x v="0"/>
  </r>
  <r>
    <n v="930"/>
    <n v="41"/>
    <n v="34.21"/>
    <n v="1"/>
    <n v="0"/>
    <n v="6289.7548999999999"/>
    <x v="0"/>
    <x v="0"/>
    <x v="0"/>
  </r>
  <r>
    <n v="1117"/>
    <n v="41"/>
    <n v="29.64"/>
    <n v="5"/>
    <n v="0"/>
    <n v="9222.4025999999994"/>
    <x v="1"/>
    <x v="0"/>
    <x v="0"/>
  </r>
  <r>
    <n v="1142"/>
    <n v="41"/>
    <n v="32.6"/>
    <n v="3"/>
    <n v="0"/>
    <n v="7954.5169999999998"/>
    <x v="2"/>
    <x v="0"/>
    <x v="1"/>
  </r>
  <r>
    <n v="1165"/>
    <n v="41"/>
    <n v="28.31"/>
    <n v="1"/>
    <n v="0"/>
    <n v="7153.5538999999999"/>
    <x v="3"/>
    <x v="0"/>
    <x v="1"/>
  </r>
  <r>
    <n v="1192"/>
    <n v="41"/>
    <n v="21.754999999999999"/>
    <n v="1"/>
    <n v="0"/>
    <n v="13725.47184"/>
    <x v="1"/>
    <x v="0"/>
    <x v="1"/>
  </r>
  <r>
    <n v="1198"/>
    <n v="41"/>
    <n v="33.549999999999997"/>
    <n v="0"/>
    <n v="0"/>
    <n v="5699.8374999999996"/>
    <x v="0"/>
    <x v="0"/>
    <x v="0"/>
  </r>
  <r>
    <n v="1225"/>
    <n v="41"/>
    <n v="23.94"/>
    <n v="1"/>
    <n v="0"/>
    <n v="6858.4795999999997"/>
    <x v="1"/>
    <x v="0"/>
    <x v="0"/>
  </r>
  <r>
    <n v="1263"/>
    <n v="41"/>
    <n v="28.05"/>
    <n v="1"/>
    <n v="0"/>
    <n v="6770.1925000000001"/>
    <x v="0"/>
    <x v="0"/>
    <x v="1"/>
  </r>
  <r>
    <n v="1310"/>
    <n v="41"/>
    <n v="32.200000000000003"/>
    <n v="2"/>
    <n v="0"/>
    <n v="6875.9610000000002"/>
    <x v="2"/>
    <x v="0"/>
    <x v="0"/>
  </r>
  <r>
    <n v="154"/>
    <n v="42"/>
    <n v="23.37"/>
    <n v="0"/>
    <n v="1"/>
    <n v="19964.746299999999"/>
    <x v="1"/>
    <x v="1"/>
    <x v="1"/>
  </r>
  <r>
    <n v="161"/>
    <n v="42"/>
    <n v="26.6"/>
    <n v="0"/>
    <n v="1"/>
    <n v="21348.705999999998"/>
    <x v="3"/>
    <x v="1"/>
    <x v="1"/>
  </r>
  <r>
    <n v="225"/>
    <n v="42"/>
    <n v="24.64"/>
    <n v="0"/>
    <n v="1"/>
    <n v="19515.5416"/>
    <x v="0"/>
    <x v="1"/>
    <x v="0"/>
  </r>
  <r>
    <n v="231"/>
    <n v="42"/>
    <n v="36.195"/>
    <n v="1"/>
    <n v="0"/>
    <n v="7443.6430499999997"/>
    <x v="3"/>
    <x v="0"/>
    <x v="1"/>
  </r>
  <r>
    <n v="368"/>
    <n v="42"/>
    <n v="24.984999999999999"/>
    <n v="2"/>
    <n v="0"/>
    <n v="8017.0611500000005"/>
    <x v="3"/>
    <x v="0"/>
    <x v="1"/>
  </r>
  <r>
    <n v="373"/>
    <n v="42"/>
    <n v="33.155000000000001"/>
    <n v="1"/>
    <n v="0"/>
    <n v="7639.4174499999999"/>
    <x v="1"/>
    <x v="0"/>
    <x v="1"/>
  </r>
  <r>
    <n v="433"/>
    <n v="42"/>
    <n v="26.9"/>
    <n v="0"/>
    <n v="0"/>
    <n v="5969.723"/>
    <x v="2"/>
    <x v="0"/>
    <x v="0"/>
  </r>
  <r>
    <n v="462"/>
    <n v="42"/>
    <n v="30"/>
    <n v="0"/>
    <n v="1"/>
    <n v="22144.031999999999"/>
    <x v="2"/>
    <x v="1"/>
    <x v="0"/>
  </r>
  <r>
    <n v="525"/>
    <n v="42"/>
    <n v="26.07"/>
    <n v="1"/>
    <n v="1"/>
    <n v="38245.593269999998"/>
    <x v="0"/>
    <x v="1"/>
    <x v="0"/>
  </r>
  <r>
    <n v="597"/>
    <n v="42"/>
    <n v="29.48"/>
    <n v="2"/>
    <n v="0"/>
    <n v="7640.3091999999997"/>
    <x v="0"/>
    <x v="0"/>
    <x v="1"/>
  </r>
  <r>
    <n v="642"/>
    <n v="42"/>
    <n v="28.31"/>
    <n v="3"/>
    <n v="1"/>
    <n v="32787.458590000002"/>
    <x v="3"/>
    <x v="1"/>
    <x v="0"/>
  </r>
  <r>
    <n v="687"/>
    <n v="42"/>
    <n v="26.125"/>
    <n v="2"/>
    <n v="0"/>
    <n v="7729.6457499999997"/>
    <x v="1"/>
    <x v="0"/>
    <x v="0"/>
  </r>
  <r>
    <n v="768"/>
    <n v="42"/>
    <n v="29"/>
    <n v="1"/>
    <n v="0"/>
    <n v="7050.6419999999998"/>
    <x v="2"/>
    <x v="0"/>
    <x v="1"/>
  </r>
  <r>
    <n v="801"/>
    <n v="42"/>
    <n v="26.18"/>
    <n v="1"/>
    <n v="0"/>
    <n v="7046.7222000000002"/>
    <x v="0"/>
    <x v="0"/>
    <x v="1"/>
  </r>
  <r>
    <n v="836"/>
    <n v="42"/>
    <n v="35.97"/>
    <n v="2"/>
    <n v="0"/>
    <n v="7160.3302999999996"/>
    <x v="0"/>
    <x v="0"/>
    <x v="0"/>
  </r>
  <r>
    <n v="873"/>
    <n v="42"/>
    <n v="24.86"/>
    <n v="0"/>
    <n v="0"/>
    <n v="5966.8873999999996"/>
    <x v="0"/>
    <x v="0"/>
    <x v="0"/>
  </r>
  <r>
    <n v="947"/>
    <n v="42"/>
    <n v="35.799999999999997"/>
    <n v="2"/>
    <n v="0"/>
    <n v="7160.0940000000001"/>
    <x v="2"/>
    <x v="0"/>
    <x v="0"/>
  </r>
  <r>
    <n v="949"/>
    <n v="42"/>
    <n v="31.254999999999999"/>
    <n v="0"/>
    <n v="0"/>
    <n v="6358.7764500000003"/>
    <x v="3"/>
    <x v="0"/>
    <x v="0"/>
  </r>
  <r>
    <n v="1066"/>
    <n v="42"/>
    <n v="25.3"/>
    <n v="1"/>
    <n v="0"/>
    <n v="7045.4989999999998"/>
    <x v="2"/>
    <x v="0"/>
    <x v="1"/>
  </r>
  <r>
    <n v="1150"/>
    <n v="42"/>
    <n v="34.1"/>
    <n v="0"/>
    <n v="0"/>
    <n v="5979.7309999999998"/>
    <x v="2"/>
    <x v="0"/>
    <x v="0"/>
  </r>
  <r>
    <n v="1181"/>
    <n v="42"/>
    <n v="41.325000000000003"/>
    <n v="1"/>
    <n v="0"/>
    <n v="7650.7737500000003"/>
    <x v="1"/>
    <x v="0"/>
    <x v="1"/>
  </r>
  <r>
    <n v="1228"/>
    <n v="42"/>
    <n v="37.18"/>
    <n v="2"/>
    <n v="0"/>
    <n v="7162.0122000000001"/>
    <x v="0"/>
    <x v="0"/>
    <x v="0"/>
  </r>
  <r>
    <n v="1256"/>
    <n v="42"/>
    <n v="37.9"/>
    <n v="0"/>
    <n v="0"/>
    <n v="6474.0129999999999"/>
    <x v="2"/>
    <x v="0"/>
    <x v="1"/>
  </r>
  <r>
    <n v="1305"/>
    <n v="42"/>
    <n v="24.605"/>
    <n v="2"/>
    <n v="1"/>
    <n v="21259.377949999998"/>
    <x v="1"/>
    <x v="1"/>
    <x v="0"/>
  </r>
  <r>
    <n v="1311"/>
    <n v="42"/>
    <n v="26.315000000000001"/>
    <n v="1"/>
    <n v="0"/>
    <n v="6940.90985"/>
    <x v="3"/>
    <x v="0"/>
    <x v="0"/>
  </r>
  <r>
    <n v="1324"/>
    <n v="42"/>
    <n v="40.369999999999997"/>
    <n v="2"/>
    <n v="1"/>
    <n v="43896.376300000004"/>
    <x v="0"/>
    <x v="1"/>
    <x v="1"/>
  </r>
  <r>
    <n v="1327"/>
    <n v="42"/>
    <n v="32.869999999999997"/>
    <n v="0"/>
    <n v="0"/>
    <n v="7050.0213000000003"/>
    <x v="1"/>
    <x v="0"/>
    <x v="1"/>
  </r>
  <r>
    <n v="61"/>
    <n v="43"/>
    <n v="27.36"/>
    <n v="3"/>
    <n v="0"/>
    <n v="8606.2173999999995"/>
    <x v="1"/>
    <x v="0"/>
    <x v="0"/>
  </r>
  <r>
    <n v="313"/>
    <n v="43"/>
    <n v="35.97"/>
    <n v="3"/>
    <n v="1"/>
    <n v="42124.515299999999"/>
    <x v="0"/>
    <x v="1"/>
    <x v="0"/>
  </r>
  <r>
    <n v="335"/>
    <n v="43"/>
    <n v="35.72"/>
    <n v="2"/>
    <n v="0"/>
    <n v="19144.576519999999"/>
    <x v="1"/>
    <x v="0"/>
    <x v="1"/>
  </r>
  <r>
    <n v="397"/>
    <n v="43"/>
    <n v="34.4"/>
    <n v="3"/>
    <n v="0"/>
    <n v="8522.0030000000006"/>
    <x v="2"/>
    <x v="0"/>
    <x v="1"/>
  </r>
  <r>
    <n v="416"/>
    <n v="43"/>
    <n v="35.64"/>
    <n v="1"/>
    <n v="0"/>
    <n v="7345.7266"/>
    <x v="0"/>
    <x v="0"/>
    <x v="1"/>
  </r>
  <r>
    <n v="502"/>
    <n v="43"/>
    <n v="26.03"/>
    <n v="0"/>
    <n v="0"/>
    <n v="6837.3687"/>
    <x v="1"/>
    <x v="0"/>
    <x v="0"/>
  </r>
  <r>
    <n v="550"/>
    <n v="43"/>
    <n v="46.2"/>
    <n v="0"/>
    <n v="1"/>
    <n v="45863.205000000002"/>
    <x v="0"/>
    <x v="1"/>
    <x v="1"/>
  </r>
  <r>
    <n v="599"/>
    <n v="43"/>
    <n v="32.6"/>
    <n v="2"/>
    <n v="0"/>
    <n v="7441.5010000000002"/>
    <x v="2"/>
    <x v="0"/>
    <x v="0"/>
  </r>
  <r>
    <n v="645"/>
    <n v="43"/>
    <n v="35.31"/>
    <n v="2"/>
    <n v="0"/>
    <n v="18806.145469999999"/>
    <x v="0"/>
    <x v="0"/>
    <x v="0"/>
  </r>
  <r>
    <n v="666"/>
    <n v="43"/>
    <n v="38.06"/>
    <n v="2"/>
    <n v="1"/>
    <n v="42560.430399999997"/>
    <x v="0"/>
    <x v="1"/>
    <x v="0"/>
  </r>
  <r>
    <n v="713"/>
    <n v="43"/>
    <n v="30.684999999999999"/>
    <n v="2"/>
    <n v="0"/>
    <n v="8310.8391499999998"/>
    <x v="3"/>
    <x v="0"/>
    <x v="1"/>
  </r>
  <r>
    <n v="874"/>
    <n v="43"/>
    <n v="30.1"/>
    <n v="1"/>
    <n v="0"/>
    <n v="6849.0259999999998"/>
    <x v="2"/>
    <x v="0"/>
    <x v="0"/>
  </r>
  <r>
    <n v="897"/>
    <n v="43"/>
    <n v="20.045000000000002"/>
    <n v="2"/>
    <n v="1"/>
    <n v="19798.054550000001"/>
    <x v="1"/>
    <x v="1"/>
    <x v="1"/>
  </r>
  <r>
    <n v="917"/>
    <n v="43"/>
    <n v="26.885000000000002"/>
    <n v="0"/>
    <n v="1"/>
    <n v="21774.32215"/>
    <x v="3"/>
    <x v="1"/>
    <x v="1"/>
  </r>
  <r>
    <n v="925"/>
    <n v="43"/>
    <n v="23.2"/>
    <n v="0"/>
    <n v="0"/>
    <n v="6250.4350000000004"/>
    <x v="2"/>
    <x v="0"/>
    <x v="0"/>
  </r>
  <r>
    <n v="959"/>
    <n v="43"/>
    <n v="34.96"/>
    <n v="1"/>
    <n v="1"/>
    <n v="41034.221400000002"/>
    <x v="1"/>
    <x v="1"/>
    <x v="0"/>
  </r>
  <r>
    <n v="987"/>
    <n v="43"/>
    <n v="30.114999999999998"/>
    <n v="3"/>
    <n v="0"/>
    <n v="8410.0468500000006"/>
    <x v="3"/>
    <x v="0"/>
    <x v="0"/>
  </r>
  <r>
    <n v="1012"/>
    <n v="43"/>
    <n v="20.13"/>
    <n v="2"/>
    <n v="1"/>
    <n v="18767.737700000001"/>
    <x v="0"/>
    <x v="1"/>
    <x v="0"/>
  </r>
  <r>
    <n v="1046"/>
    <n v="43"/>
    <n v="24.7"/>
    <n v="2"/>
    <n v="1"/>
    <n v="21880.82"/>
    <x v="3"/>
    <x v="1"/>
    <x v="1"/>
  </r>
  <r>
    <n v="1047"/>
    <n v="43"/>
    <n v="25.08"/>
    <n v="0"/>
    <n v="0"/>
    <n v="7325.0482000000002"/>
    <x v="1"/>
    <x v="0"/>
    <x v="1"/>
  </r>
  <r>
    <n v="1153"/>
    <n v="43"/>
    <n v="32.56"/>
    <n v="3"/>
    <n v="1"/>
    <n v="40941.285400000001"/>
    <x v="0"/>
    <x v="1"/>
    <x v="1"/>
  </r>
  <r>
    <n v="1161"/>
    <n v="43"/>
    <n v="34.58"/>
    <n v="1"/>
    <n v="0"/>
    <n v="7727.2532000000001"/>
    <x v="3"/>
    <x v="0"/>
    <x v="1"/>
  </r>
  <r>
    <n v="1172"/>
    <n v="43"/>
    <n v="26.7"/>
    <n v="2"/>
    <n v="1"/>
    <n v="22478.6"/>
    <x v="2"/>
    <x v="1"/>
    <x v="1"/>
  </r>
  <r>
    <n v="1189"/>
    <n v="43"/>
    <n v="25.27"/>
    <n v="1"/>
    <n v="1"/>
    <n v="21771.3423"/>
    <x v="1"/>
    <x v="1"/>
    <x v="1"/>
  </r>
  <r>
    <n v="1264"/>
    <n v="43"/>
    <n v="29.9"/>
    <n v="1"/>
    <n v="0"/>
    <n v="7337.7479999999996"/>
    <x v="2"/>
    <x v="0"/>
    <x v="1"/>
  </r>
  <r>
    <n v="1273"/>
    <n v="43"/>
    <n v="25.52"/>
    <n v="5"/>
    <n v="0"/>
    <n v="14478.33015"/>
    <x v="0"/>
    <x v="0"/>
    <x v="0"/>
  </r>
  <r>
    <n v="1304"/>
    <n v="43"/>
    <n v="27.8"/>
    <n v="0"/>
    <n v="1"/>
    <n v="37829.724199999997"/>
    <x v="2"/>
    <x v="1"/>
    <x v="0"/>
  </r>
  <r>
    <n v="75"/>
    <n v="44"/>
    <n v="27.4"/>
    <n v="2"/>
    <n v="0"/>
    <n v="7726.8540000000003"/>
    <x v="2"/>
    <x v="0"/>
    <x v="0"/>
  </r>
  <r>
    <n v="121"/>
    <n v="44"/>
    <n v="37.1"/>
    <n v="2"/>
    <n v="0"/>
    <n v="7740.3370000000004"/>
    <x v="2"/>
    <x v="0"/>
    <x v="0"/>
  </r>
  <r>
    <n v="124"/>
    <n v="44"/>
    <n v="31.35"/>
    <n v="1"/>
    <n v="1"/>
    <n v="39556.494500000001"/>
    <x v="1"/>
    <x v="1"/>
    <x v="0"/>
  </r>
  <r>
    <n v="156"/>
    <n v="44"/>
    <n v="39.520000000000003"/>
    <n v="0"/>
    <n v="0"/>
    <n v="6948.7007999999996"/>
    <x v="3"/>
    <x v="0"/>
    <x v="0"/>
  </r>
  <r>
    <n v="184"/>
    <n v="44"/>
    <n v="26.41"/>
    <n v="0"/>
    <n v="0"/>
    <n v="7419.4778999999999"/>
    <x v="3"/>
    <x v="0"/>
    <x v="1"/>
  </r>
  <r>
    <n v="185"/>
    <n v="44"/>
    <n v="30.69"/>
    <n v="2"/>
    <n v="0"/>
    <n v="7731.4270999999999"/>
    <x v="0"/>
    <x v="0"/>
    <x v="0"/>
  </r>
  <r>
    <n v="240"/>
    <n v="44"/>
    <n v="38.06"/>
    <n v="1"/>
    <n v="0"/>
    <n v="7152.6714000000002"/>
    <x v="0"/>
    <x v="0"/>
    <x v="0"/>
  </r>
  <r>
    <n v="319"/>
    <n v="44"/>
    <n v="27.645"/>
    <n v="0"/>
    <n v="0"/>
    <n v="7421.1945500000002"/>
    <x v="3"/>
    <x v="0"/>
    <x v="1"/>
  </r>
  <r>
    <n v="369"/>
    <n v="44"/>
    <n v="32.015000000000001"/>
    <n v="2"/>
    <n v="0"/>
    <n v="8116.2688500000004"/>
    <x v="3"/>
    <x v="0"/>
    <x v="0"/>
  </r>
  <r>
    <n v="385"/>
    <n v="44"/>
    <n v="22.135000000000002"/>
    <n v="2"/>
    <n v="0"/>
    <n v="8302.5356499999998"/>
    <x v="1"/>
    <x v="0"/>
    <x v="0"/>
  </r>
  <r>
    <n v="412"/>
    <n v="44"/>
    <n v="20.234999999999999"/>
    <n v="1"/>
    <n v="1"/>
    <n v="19594.809649999999"/>
    <x v="1"/>
    <x v="1"/>
    <x v="1"/>
  </r>
  <r>
    <n v="489"/>
    <n v="44"/>
    <n v="38.06"/>
    <n v="0"/>
    <n v="1"/>
    <n v="48885.135609999998"/>
    <x v="0"/>
    <x v="1"/>
    <x v="1"/>
  </r>
  <r>
    <n v="499"/>
    <n v="44"/>
    <n v="23.98"/>
    <n v="2"/>
    <n v="0"/>
    <n v="8211.1002000000008"/>
    <x v="0"/>
    <x v="0"/>
    <x v="1"/>
  </r>
  <r>
    <n v="630"/>
    <n v="44"/>
    <n v="38.950000000000003"/>
    <n v="0"/>
    <n v="1"/>
    <n v="42983.458500000001"/>
    <x v="3"/>
    <x v="1"/>
    <x v="1"/>
  </r>
  <r>
    <n v="675"/>
    <n v="44"/>
    <n v="43.89"/>
    <n v="2"/>
    <n v="1"/>
    <n v="46200.985099999998"/>
    <x v="0"/>
    <x v="1"/>
    <x v="1"/>
  </r>
  <r>
    <n v="773"/>
    <n v="44"/>
    <n v="36.479999999999997"/>
    <n v="0"/>
    <n v="0"/>
    <n v="12797.20962"/>
    <x v="1"/>
    <x v="0"/>
    <x v="1"/>
  </r>
  <r>
    <n v="824"/>
    <n v="44"/>
    <n v="29.81"/>
    <n v="2"/>
    <n v="0"/>
    <n v="8219.2039000000004"/>
    <x v="0"/>
    <x v="0"/>
    <x v="1"/>
  </r>
  <r>
    <n v="875"/>
    <n v="44"/>
    <n v="21.85"/>
    <n v="3"/>
    <n v="0"/>
    <n v="8891.1394999999993"/>
    <x v="1"/>
    <x v="0"/>
    <x v="0"/>
  </r>
  <r>
    <n v="908"/>
    <n v="44"/>
    <n v="32.340000000000003"/>
    <n v="1"/>
    <n v="0"/>
    <n v="7633.7205999999996"/>
    <x v="0"/>
    <x v="0"/>
    <x v="1"/>
  </r>
  <r>
    <n v="914"/>
    <n v="44"/>
    <n v="27.5"/>
    <n v="1"/>
    <n v="0"/>
    <n v="7626.9930000000004"/>
    <x v="2"/>
    <x v="0"/>
    <x v="1"/>
  </r>
  <r>
    <n v="937"/>
    <n v="44"/>
    <n v="29.734999999999999"/>
    <n v="2"/>
    <n v="0"/>
    <n v="32108.662820000001"/>
    <x v="1"/>
    <x v="0"/>
    <x v="0"/>
  </r>
  <r>
    <n v="954"/>
    <n v="44"/>
    <n v="30.2"/>
    <n v="2"/>
    <n v="1"/>
    <n v="38998.546000000002"/>
    <x v="2"/>
    <x v="1"/>
    <x v="0"/>
  </r>
  <r>
    <n v="968"/>
    <n v="44"/>
    <n v="25.364999999999998"/>
    <n v="1"/>
    <n v="0"/>
    <n v="7518.0253499999999"/>
    <x v="3"/>
    <x v="0"/>
    <x v="0"/>
  </r>
  <r>
    <n v="986"/>
    <n v="44"/>
    <n v="25.8"/>
    <n v="1"/>
    <n v="0"/>
    <n v="7624.63"/>
    <x v="2"/>
    <x v="0"/>
    <x v="1"/>
  </r>
  <r>
    <n v="1051"/>
    <n v="44"/>
    <n v="36.954999999999998"/>
    <n v="1"/>
    <n v="0"/>
    <n v="8023.1354499999998"/>
    <x v="3"/>
    <x v="0"/>
    <x v="1"/>
  </r>
  <r>
    <n v="1137"/>
    <n v="44"/>
    <n v="25"/>
    <n v="1"/>
    <n v="0"/>
    <n v="7623.518"/>
    <x v="2"/>
    <x v="0"/>
    <x v="1"/>
  </r>
  <r>
    <n v="1290"/>
    <n v="44"/>
    <n v="34.32"/>
    <n v="1"/>
    <n v="0"/>
    <n v="7147.4727999999996"/>
    <x v="0"/>
    <x v="0"/>
    <x v="0"/>
  </r>
  <r>
    <n v="82"/>
    <n v="45"/>
    <n v="38.284999999999997"/>
    <n v="0"/>
    <n v="0"/>
    <n v="7935.29115"/>
    <x v="1"/>
    <x v="0"/>
    <x v="1"/>
  </r>
  <r>
    <n v="86"/>
    <n v="45"/>
    <n v="22.895"/>
    <n v="2"/>
    <n v="1"/>
    <n v="21098.554049999999"/>
    <x v="3"/>
    <x v="1"/>
    <x v="0"/>
  </r>
  <r>
    <n v="198"/>
    <n v="45"/>
    <n v="28.6"/>
    <n v="2"/>
    <n v="0"/>
    <n v="8516.8289999999997"/>
    <x v="0"/>
    <x v="0"/>
    <x v="1"/>
  </r>
  <r>
    <n v="215"/>
    <n v="45"/>
    <n v="30.9"/>
    <n v="2"/>
    <n v="0"/>
    <n v="8520.0259999999998"/>
    <x v="2"/>
    <x v="0"/>
    <x v="1"/>
  </r>
  <r>
    <n v="269"/>
    <n v="45"/>
    <n v="30.2"/>
    <n v="1"/>
    <n v="0"/>
    <n v="7441.0529999999999"/>
    <x v="2"/>
    <x v="0"/>
    <x v="0"/>
  </r>
  <r>
    <n v="328"/>
    <n v="45"/>
    <n v="36.479999999999997"/>
    <n v="2"/>
    <n v="1"/>
    <n v="42760.502200000003"/>
    <x v="3"/>
    <x v="1"/>
    <x v="0"/>
  </r>
  <r>
    <n v="426"/>
    <n v="45"/>
    <n v="24.31"/>
    <n v="5"/>
    <n v="0"/>
    <n v="9788.8659000000007"/>
    <x v="0"/>
    <x v="0"/>
    <x v="0"/>
  </r>
  <r>
    <n v="446"/>
    <n v="45"/>
    <n v="33.1"/>
    <n v="0"/>
    <n v="0"/>
    <n v="7345.0839999999998"/>
    <x v="2"/>
    <x v="0"/>
    <x v="1"/>
  </r>
  <r>
    <n v="498"/>
    <n v="45"/>
    <n v="28.7"/>
    <n v="2"/>
    <n v="0"/>
    <n v="8027.9679999999998"/>
    <x v="2"/>
    <x v="0"/>
    <x v="0"/>
  </r>
  <r>
    <n v="518"/>
    <n v="45"/>
    <n v="30.495000000000001"/>
    <n v="2"/>
    <n v="0"/>
    <n v="8413.4630500000003"/>
    <x v="3"/>
    <x v="0"/>
    <x v="0"/>
  </r>
  <r>
    <n v="654"/>
    <n v="45"/>
    <n v="36.299999999999997"/>
    <n v="2"/>
    <n v="0"/>
    <n v="8527.5319999999992"/>
    <x v="0"/>
    <x v="0"/>
    <x v="1"/>
  </r>
  <r>
    <n v="676"/>
    <n v="45"/>
    <n v="21.375"/>
    <n v="0"/>
    <n v="0"/>
    <n v="7222.7862500000001"/>
    <x v="3"/>
    <x v="0"/>
    <x v="0"/>
  </r>
  <r>
    <n v="741"/>
    <n v="45"/>
    <n v="24.035"/>
    <n v="2"/>
    <n v="0"/>
    <n v="8604.4836500000001"/>
    <x v="1"/>
    <x v="0"/>
    <x v="0"/>
  </r>
  <r>
    <n v="765"/>
    <n v="45"/>
    <n v="25.175000000000001"/>
    <n v="2"/>
    <n v="0"/>
    <n v="9095.0682500000003"/>
    <x v="1"/>
    <x v="0"/>
    <x v="1"/>
  </r>
  <r>
    <n v="778"/>
    <n v="45"/>
    <n v="39.805"/>
    <n v="0"/>
    <n v="0"/>
    <n v="7448.4039499999999"/>
    <x v="1"/>
    <x v="0"/>
    <x v="0"/>
  </r>
  <r>
    <n v="806"/>
    <n v="45"/>
    <n v="35.814999999999998"/>
    <n v="0"/>
    <n v="0"/>
    <n v="7731.8578500000003"/>
    <x v="3"/>
    <x v="0"/>
    <x v="1"/>
  </r>
  <r>
    <n v="821"/>
    <n v="45"/>
    <n v="33.700000000000003"/>
    <n v="1"/>
    <n v="0"/>
    <n v="7445.9179999999997"/>
    <x v="2"/>
    <x v="0"/>
    <x v="0"/>
  </r>
  <r>
    <n v="918"/>
    <n v="45"/>
    <n v="22.895"/>
    <n v="0"/>
    <n v="1"/>
    <n v="35069.374519999998"/>
    <x v="1"/>
    <x v="1"/>
    <x v="0"/>
  </r>
  <r>
    <n v="934"/>
    <n v="45"/>
    <n v="35.299999999999997"/>
    <n v="0"/>
    <n v="0"/>
    <n v="7348.1419999999998"/>
    <x v="2"/>
    <x v="0"/>
    <x v="1"/>
  </r>
  <r>
    <n v="979"/>
    <n v="45"/>
    <n v="39.994999999999997"/>
    <n v="3"/>
    <n v="0"/>
    <n v="9704.6680500000002"/>
    <x v="1"/>
    <x v="0"/>
    <x v="1"/>
  </r>
  <r>
    <n v="988"/>
    <n v="45"/>
    <n v="27.645"/>
    <n v="1"/>
    <n v="0"/>
    <n v="28340.188849999999"/>
    <x v="3"/>
    <x v="0"/>
    <x v="1"/>
  </r>
  <r>
    <n v="1038"/>
    <n v="45"/>
    <n v="30.495000000000001"/>
    <n v="1"/>
    <n v="1"/>
    <n v="39725.518049999999"/>
    <x v="3"/>
    <x v="1"/>
    <x v="1"/>
  </r>
  <r>
    <n v="1058"/>
    <n v="45"/>
    <n v="31.79"/>
    <n v="0"/>
    <n v="0"/>
    <n v="17929.303370000001"/>
    <x v="0"/>
    <x v="0"/>
    <x v="1"/>
  </r>
  <r>
    <n v="1110"/>
    <n v="45"/>
    <n v="20.350000000000001"/>
    <n v="3"/>
    <n v="0"/>
    <n v="8605.3615000000009"/>
    <x v="0"/>
    <x v="0"/>
    <x v="0"/>
  </r>
  <r>
    <n v="1186"/>
    <n v="45"/>
    <n v="23.56"/>
    <n v="2"/>
    <n v="0"/>
    <n v="8603.8233999999993"/>
    <x v="1"/>
    <x v="0"/>
    <x v="0"/>
  </r>
  <r>
    <n v="1235"/>
    <n v="45"/>
    <n v="27.83"/>
    <n v="2"/>
    <n v="0"/>
    <n v="8515.7587000000003"/>
    <x v="0"/>
    <x v="0"/>
    <x v="1"/>
  </r>
  <r>
    <n v="1247"/>
    <n v="45"/>
    <n v="25.7"/>
    <n v="3"/>
    <n v="0"/>
    <n v="9101.7980000000007"/>
    <x v="2"/>
    <x v="0"/>
    <x v="1"/>
  </r>
  <r>
    <n v="1270"/>
    <n v="45"/>
    <n v="27.5"/>
    <n v="3"/>
    <n v="0"/>
    <n v="8615.2999999999993"/>
    <x v="2"/>
    <x v="0"/>
    <x v="0"/>
  </r>
  <r>
    <n v="1301"/>
    <n v="45"/>
    <n v="30.36"/>
    <n v="0"/>
    <n v="1"/>
    <n v="62592.873090000001"/>
    <x v="0"/>
    <x v="1"/>
    <x v="0"/>
  </r>
  <r>
    <n v="7"/>
    <n v="46"/>
    <n v="33.44"/>
    <n v="1"/>
    <n v="0"/>
    <n v="8240.5895999999993"/>
    <x v="0"/>
    <x v="0"/>
    <x v="1"/>
  </r>
  <r>
    <n v="89"/>
    <n v="46"/>
    <n v="27.74"/>
    <n v="0"/>
    <n v="0"/>
    <n v="8026.6665999999996"/>
    <x v="3"/>
    <x v="0"/>
    <x v="1"/>
  </r>
  <r>
    <n v="147"/>
    <n v="46"/>
    <n v="30.495000000000001"/>
    <n v="3"/>
    <n v="1"/>
    <n v="40720.551050000002"/>
    <x v="3"/>
    <x v="1"/>
    <x v="0"/>
  </r>
  <r>
    <n v="179"/>
    <n v="46"/>
    <n v="28.9"/>
    <n v="2"/>
    <n v="0"/>
    <n v="8823.2790000000005"/>
    <x v="2"/>
    <x v="0"/>
    <x v="1"/>
  </r>
  <r>
    <n v="205"/>
    <n v="46"/>
    <n v="22.3"/>
    <n v="0"/>
    <n v="0"/>
    <n v="7147.1049999999996"/>
    <x v="2"/>
    <x v="0"/>
    <x v="0"/>
  </r>
  <r>
    <n v="266"/>
    <n v="46"/>
    <n v="42.35"/>
    <n v="3"/>
    <n v="1"/>
    <n v="46151.124499999998"/>
    <x v="0"/>
    <x v="1"/>
    <x v="0"/>
  </r>
  <r>
    <n v="286"/>
    <n v="46"/>
    <n v="26.62"/>
    <n v="1"/>
    <n v="0"/>
    <n v="7742.1098000000002"/>
    <x v="0"/>
    <x v="0"/>
    <x v="0"/>
  </r>
  <r>
    <n v="287"/>
    <n v="46"/>
    <n v="48.07"/>
    <n v="2"/>
    <n v="0"/>
    <n v="9432.9253000000008"/>
    <x v="1"/>
    <x v="0"/>
    <x v="1"/>
  </r>
  <r>
    <n v="340"/>
    <n v="46"/>
    <n v="27.72"/>
    <n v="1"/>
    <n v="0"/>
    <n v="8232.6388000000006"/>
    <x v="0"/>
    <x v="0"/>
    <x v="1"/>
  </r>
  <r>
    <n v="348"/>
    <n v="46"/>
    <n v="33.344999999999999"/>
    <n v="1"/>
    <n v="0"/>
    <n v="8334.4575499999992"/>
    <x v="1"/>
    <x v="0"/>
    <x v="0"/>
  </r>
  <r>
    <n v="356"/>
    <n v="46"/>
    <n v="27.6"/>
    <n v="0"/>
    <n v="0"/>
    <n v="24603.04837"/>
    <x v="2"/>
    <x v="0"/>
    <x v="0"/>
  </r>
  <r>
    <n v="357"/>
    <n v="46"/>
    <n v="43.89"/>
    <n v="3"/>
    <n v="0"/>
    <n v="8944.1151000000009"/>
    <x v="0"/>
    <x v="0"/>
    <x v="0"/>
  </r>
  <r>
    <n v="395"/>
    <n v="46"/>
    <n v="32.299999999999997"/>
    <n v="2"/>
    <n v="0"/>
    <n v="9411.0049999999992"/>
    <x v="1"/>
    <x v="0"/>
    <x v="1"/>
  </r>
  <r>
    <n v="396"/>
    <n v="46"/>
    <n v="19.855"/>
    <n v="0"/>
    <n v="0"/>
    <n v="7526.7064499999997"/>
    <x v="3"/>
    <x v="0"/>
    <x v="0"/>
  </r>
  <r>
    <n v="529"/>
    <n v="46"/>
    <n v="39.424999999999997"/>
    <n v="1"/>
    <n v="0"/>
    <n v="8342.9087500000005"/>
    <x v="1"/>
    <x v="0"/>
    <x v="0"/>
  </r>
  <r>
    <n v="538"/>
    <n v="46"/>
    <n v="30.2"/>
    <n v="2"/>
    <n v="0"/>
    <n v="8825.0859999999993"/>
    <x v="2"/>
    <x v="0"/>
    <x v="1"/>
  </r>
  <r>
    <n v="539"/>
    <n v="46"/>
    <n v="28.05"/>
    <n v="1"/>
    <n v="0"/>
    <n v="8233.0974999999999"/>
    <x v="0"/>
    <x v="0"/>
    <x v="1"/>
  </r>
  <r>
    <n v="557"/>
    <n v="46"/>
    <n v="33.44"/>
    <n v="1"/>
    <n v="0"/>
    <n v="8334.5895999999993"/>
    <x v="1"/>
    <x v="0"/>
    <x v="0"/>
  </r>
  <r>
    <n v="561"/>
    <n v="46"/>
    <n v="19.95"/>
    <n v="2"/>
    <n v="0"/>
    <n v="9193.8384999999998"/>
    <x v="3"/>
    <x v="0"/>
    <x v="1"/>
  </r>
  <r>
    <n v="596"/>
    <n v="46"/>
    <n v="33.725000000000001"/>
    <n v="1"/>
    <n v="0"/>
    <n v="8823.9857499999998"/>
    <x v="1"/>
    <x v="0"/>
    <x v="1"/>
  </r>
  <r>
    <n v="811"/>
    <n v="46"/>
    <n v="30.8"/>
    <n v="3"/>
    <n v="0"/>
    <n v="9414.92"/>
    <x v="2"/>
    <x v="0"/>
    <x v="1"/>
  </r>
  <r>
    <n v="853"/>
    <n v="46"/>
    <n v="35.53"/>
    <n v="0"/>
    <n v="1"/>
    <n v="42111.664700000001"/>
    <x v="1"/>
    <x v="1"/>
    <x v="1"/>
  </r>
  <r>
    <n v="933"/>
    <n v="46"/>
    <n v="25.8"/>
    <n v="5"/>
    <n v="0"/>
    <n v="10096.969999999999"/>
    <x v="2"/>
    <x v="0"/>
    <x v="0"/>
  </r>
  <r>
    <n v="964"/>
    <n v="46"/>
    <n v="24.795000000000002"/>
    <n v="3"/>
    <n v="0"/>
    <n v="9500.5730500000009"/>
    <x v="1"/>
    <x v="0"/>
    <x v="0"/>
  </r>
  <r>
    <n v="1031"/>
    <n v="46"/>
    <n v="23.655000000000001"/>
    <n v="1"/>
    <n v="1"/>
    <n v="21677.283449999999"/>
    <x v="3"/>
    <x v="1"/>
    <x v="1"/>
  </r>
  <r>
    <n v="1122"/>
    <n v="46"/>
    <n v="38.17"/>
    <n v="2"/>
    <n v="0"/>
    <n v="8347.1643000000004"/>
    <x v="0"/>
    <x v="0"/>
    <x v="0"/>
  </r>
  <r>
    <n v="1202"/>
    <n v="46"/>
    <n v="40.375"/>
    <n v="2"/>
    <n v="0"/>
    <n v="8733.2292500000003"/>
    <x v="3"/>
    <x v="0"/>
    <x v="0"/>
  </r>
  <r>
    <n v="1219"/>
    <n v="46"/>
    <n v="34.6"/>
    <n v="1"/>
    <n v="1"/>
    <n v="41661.601999999999"/>
    <x v="2"/>
    <x v="1"/>
    <x v="1"/>
  </r>
  <r>
    <n v="1294"/>
    <n v="46"/>
    <n v="25.745000000000001"/>
    <n v="3"/>
    <n v="0"/>
    <n v="9301.8935500000007"/>
    <x v="3"/>
    <x v="0"/>
    <x v="0"/>
  </r>
  <r>
    <n v="125"/>
    <n v="47"/>
    <n v="33.914999999999999"/>
    <n v="3"/>
    <n v="0"/>
    <n v="10115.00885"/>
    <x v="3"/>
    <x v="0"/>
    <x v="1"/>
  </r>
  <r>
    <n v="166"/>
    <n v="47"/>
    <n v="28.215"/>
    <n v="4"/>
    <n v="0"/>
    <n v="10407.085849999999"/>
    <x v="1"/>
    <x v="0"/>
    <x v="0"/>
  </r>
  <r>
    <n v="230"/>
    <n v="47"/>
    <n v="25.46"/>
    <n v="2"/>
    <n v="0"/>
    <n v="9225.2564000000002"/>
    <x v="1"/>
    <x v="0"/>
    <x v="0"/>
  </r>
  <r>
    <n v="276"/>
    <n v="47"/>
    <n v="26.6"/>
    <n v="2"/>
    <n v="0"/>
    <n v="9715.8410000000003"/>
    <x v="1"/>
    <x v="0"/>
    <x v="1"/>
  </r>
  <r>
    <n v="298"/>
    <n v="47"/>
    <n v="25.41"/>
    <n v="1"/>
    <n v="1"/>
    <n v="21978.676899999999"/>
    <x v="0"/>
    <x v="1"/>
    <x v="0"/>
  </r>
  <r>
    <n v="358"/>
    <n v="47"/>
    <n v="29.83"/>
    <n v="3"/>
    <n v="0"/>
    <n v="9620.3307000000004"/>
    <x v="3"/>
    <x v="0"/>
    <x v="0"/>
  </r>
  <r>
    <n v="402"/>
    <n v="47"/>
    <n v="47.52"/>
    <n v="1"/>
    <n v="0"/>
    <n v="8083.9197999999997"/>
    <x v="0"/>
    <x v="0"/>
    <x v="0"/>
  </r>
  <r>
    <n v="408"/>
    <n v="47"/>
    <n v="23.6"/>
    <n v="1"/>
    <n v="0"/>
    <n v="8539.6710000000003"/>
    <x v="2"/>
    <x v="0"/>
    <x v="1"/>
  </r>
  <r>
    <n v="474"/>
    <n v="47"/>
    <n v="33.344999999999999"/>
    <n v="0"/>
    <n v="0"/>
    <n v="20878.78443"/>
    <x v="1"/>
    <x v="0"/>
    <x v="1"/>
  </r>
  <r>
    <n v="592"/>
    <n v="47"/>
    <n v="19.57"/>
    <n v="1"/>
    <n v="0"/>
    <n v="8428.0692999999992"/>
    <x v="3"/>
    <x v="0"/>
    <x v="0"/>
  </r>
  <r>
    <n v="611"/>
    <n v="47"/>
    <n v="29.37"/>
    <n v="1"/>
    <n v="0"/>
    <n v="8547.6913000000004"/>
    <x v="0"/>
    <x v="0"/>
    <x v="1"/>
  </r>
  <r>
    <n v="616"/>
    <n v="47"/>
    <n v="36.630000000000003"/>
    <n v="1"/>
    <n v="1"/>
    <n v="42969.852700000003"/>
    <x v="0"/>
    <x v="1"/>
    <x v="1"/>
  </r>
  <r>
    <n v="689"/>
    <n v="47"/>
    <n v="24.1"/>
    <n v="1"/>
    <n v="0"/>
    <n v="26236.579969999999"/>
    <x v="2"/>
    <x v="0"/>
    <x v="1"/>
  </r>
  <r>
    <n v="692"/>
    <n v="47"/>
    <n v="36.200000000000003"/>
    <n v="1"/>
    <n v="0"/>
    <n v="8068.1850000000004"/>
    <x v="2"/>
    <x v="0"/>
    <x v="0"/>
  </r>
  <r>
    <n v="705"/>
    <n v="47"/>
    <n v="29.545000000000002"/>
    <n v="1"/>
    <n v="0"/>
    <n v="8930.9345499999999"/>
    <x v="3"/>
    <x v="0"/>
    <x v="1"/>
  </r>
  <r>
    <n v="749"/>
    <n v="47"/>
    <n v="36"/>
    <n v="1"/>
    <n v="0"/>
    <n v="8556.9069999999992"/>
    <x v="2"/>
    <x v="0"/>
    <x v="1"/>
  </r>
  <r>
    <n v="758"/>
    <n v="47"/>
    <n v="27.83"/>
    <n v="0"/>
    <n v="1"/>
    <n v="23065.420699999999"/>
    <x v="0"/>
    <x v="1"/>
    <x v="1"/>
  </r>
  <r>
    <n v="767"/>
    <n v="47"/>
    <n v="32.299999999999997"/>
    <n v="1"/>
    <n v="0"/>
    <n v="8062.7640000000001"/>
    <x v="2"/>
    <x v="0"/>
    <x v="0"/>
  </r>
  <r>
    <n v="819"/>
    <n v="47"/>
    <n v="26.125"/>
    <n v="1"/>
    <n v="1"/>
    <n v="23401.30575"/>
    <x v="1"/>
    <x v="1"/>
    <x v="1"/>
  </r>
  <r>
    <n v="894"/>
    <n v="47"/>
    <n v="38.94"/>
    <n v="2"/>
    <n v="1"/>
    <n v="44202.653599999998"/>
    <x v="0"/>
    <x v="1"/>
    <x v="0"/>
  </r>
  <r>
    <n v="1005"/>
    <n v="47"/>
    <n v="19.190000000000001"/>
    <n v="1"/>
    <n v="0"/>
    <n v="8627.5411000000004"/>
    <x v="1"/>
    <x v="0"/>
    <x v="0"/>
  </r>
  <r>
    <n v="1008"/>
    <n v="47"/>
    <n v="28.215"/>
    <n v="3"/>
    <n v="1"/>
    <n v="24915.220850000002"/>
    <x v="3"/>
    <x v="1"/>
    <x v="0"/>
  </r>
  <r>
    <n v="1023"/>
    <n v="47"/>
    <n v="36.08"/>
    <n v="1"/>
    <n v="1"/>
    <n v="42211.138200000001"/>
    <x v="0"/>
    <x v="1"/>
    <x v="0"/>
  </r>
  <r>
    <n v="1025"/>
    <n v="47"/>
    <n v="45.32"/>
    <n v="1"/>
    <n v="0"/>
    <n v="8569.8618000000006"/>
    <x v="0"/>
    <x v="0"/>
    <x v="1"/>
  </r>
  <r>
    <n v="1054"/>
    <n v="47"/>
    <n v="29.8"/>
    <n v="3"/>
    <n v="1"/>
    <n v="25309.489000000001"/>
    <x v="2"/>
    <x v="1"/>
    <x v="0"/>
  </r>
  <r>
    <n v="1077"/>
    <n v="47"/>
    <n v="32"/>
    <n v="1"/>
    <n v="0"/>
    <n v="8551.3469999999998"/>
    <x v="2"/>
    <x v="0"/>
    <x v="1"/>
  </r>
  <r>
    <n v="1091"/>
    <n v="47"/>
    <n v="36.19"/>
    <n v="0"/>
    <n v="1"/>
    <n v="41676.081100000003"/>
    <x v="0"/>
    <x v="1"/>
    <x v="0"/>
  </r>
  <r>
    <n v="1282"/>
    <n v="47"/>
    <n v="27.645"/>
    <n v="2"/>
    <n v="1"/>
    <n v="24535.698550000001"/>
    <x v="3"/>
    <x v="1"/>
    <x v="1"/>
  </r>
  <r>
    <n v="1286"/>
    <n v="47"/>
    <n v="24.32"/>
    <n v="0"/>
    <n v="0"/>
    <n v="8534.6718000000001"/>
    <x v="1"/>
    <x v="0"/>
    <x v="1"/>
  </r>
  <r>
    <n v="53"/>
    <n v="48"/>
    <n v="28"/>
    <n v="1"/>
    <n v="1"/>
    <n v="23568.272000000001"/>
    <x v="2"/>
    <x v="1"/>
    <x v="0"/>
  </r>
  <r>
    <n v="84"/>
    <n v="48"/>
    <n v="41.23"/>
    <n v="4"/>
    <n v="0"/>
    <n v="11033.661700000001"/>
    <x v="3"/>
    <x v="0"/>
    <x v="1"/>
  </r>
  <r>
    <n v="152"/>
    <n v="48"/>
    <n v="29.7"/>
    <n v="0"/>
    <n v="0"/>
    <n v="7789.6350000000002"/>
    <x v="0"/>
    <x v="0"/>
    <x v="0"/>
  </r>
  <r>
    <n v="157"/>
    <n v="48"/>
    <n v="24.42"/>
    <n v="0"/>
    <n v="1"/>
    <n v="21223.675800000001"/>
    <x v="0"/>
    <x v="1"/>
    <x v="0"/>
  </r>
  <r>
    <n v="202"/>
    <n v="48"/>
    <n v="32.229999999999997"/>
    <n v="1"/>
    <n v="0"/>
    <n v="8871.1517000000003"/>
    <x v="0"/>
    <x v="0"/>
    <x v="1"/>
  </r>
  <r>
    <n v="300"/>
    <n v="48"/>
    <n v="28.88"/>
    <n v="1"/>
    <n v="0"/>
    <n v="9249.4951999999994"/>
    <x v="3"/>
    <x v="0"/>
    <x v="1"/>
  </r>
  <r>
    <n v="361"/>
    <n v="48"/>
    <n v="32.299999999999997"/>
    <n v="2"/>
    <n v="0"/>
    <n v="10043.249"/>
    <x v="1"/>
    <x v="0"/>
    <x v="1"/>
  </r>
  <r>
    <n v="391"/>
    <n v="48"/>
    <n v="35.625"/>
    <n v="4"/>
    <n v="0"/>
    <n v="10736.87075"/>
    <x v="1"/>
    <x v="0"/>
    <x v="0"/>
  </r>
  <r>
    <n v="393"/>
    <n v="48"/>
    <n v="31.445"/>
    <n v="1"/>
    <n v="0"/>
    <n v="8964.0605500000001"/>
    <x v="1"/>
    <x v="0"/>
    <x v="0"/>
  </r>
  <r>
    <n v="425"/>
    <n v="48"/>
    <n v="30.2"/>
    <n v="2"/>
    <n v="0"/>
    <n v="8968.33"/>
    <x v="2"/>
    <x v="0"/>
    <x v="0"/>
  </r>
  <r>
    <n v="485"/>
    <n v="48"/>
    <n v="34.299999999999997"/>
    <n v="3"/>
    <n v="0"/>
    <n v="9563.0290000000005"/>
    <x v="2"/>
    <x v="0"/>
    <x v="0"/>
  </r>
  <r>
    <n v="570"/>
    <n v="48"/>
    <n v="40.564999999999998"/>
    <n v="2"/>
    <n v="1"/>
    <n v="45702.022349999999"/>
    <x v="3"/>
    <x v="1"/>
    <x v="0"/>
  </r>
  <r>
    <n v="646"/>
    <n v="48"/>
    <n v="30.78"/>
    <n v="3"/>
    <n v="0"/>
    <n v="10141.136200000001"/>
    <x v="1"/>
    <x v="0"/>
    <x v="0"/>
  </r>
  <r>
    <n v="653"/>
    <n v="48"/>
    <n v="31.13"/>
    <n v="0"/>
    <n v="0"/>
    <n v="8280.6226999999999"/>
    <x v="0"/>
    <x v="0"/>
    <x v="1"/>
  </r>
  <r>
    <n v="659"/>
    <n v="48"/>
    <n v="35.909999999999997"/>
    <n v="1"/>
    <n v="0"/>
    <n v="26392.260289999998"/>
    <x v="1"/>
    <x v="0"/>
    <x v="1"/>
  </r>
  <r>
    <n v="734"/>
    <n v="48"/>
    <n v="27.265000000000001"/>
    <n v="1"/>
    <n v="0"/>
    <n v="9447.2503500000003"/>
    <x v="1"/>
    <x v="0"/>
    <x v="1"/>
  </r>
  <r>
    <n v="857"/>
    <n v="48"/>
    <n v="33.11"/>
    <n v="0"/>
    <n v="1"/>
    <n v="40974.164900000003"/>
    <x v="0"/>
    <x v="1"/>
    <x v="1"/>
  </r>
  <r>
    <n v="960"/>
    <n v="48"/>
    <n v="36.67"/>
    <n v="1"/>
    <n v="0"/>
    <n v="28468.919010000001"/>
    <x v="3"/>
    <x v="0"/>
    <x v="0"/>
  </r>
  <r>
    <n v="977"/>
    <n v="48"/>
    <n v="40.15"/>
    <n v="0"/>
    <n v="0"/>
    <n v="7804.1605"/>
    <x v="0"/>
    <x v="0"/>
    <x v="0"/>
  </r>
  <r>
    <n v="1004"/>
    <n v="48"/>
    <n v="29.6"/>
    <n v="0"/>
    <n v="0"/>
    <n v="21232.182260000001"/>
    <x v="2"/>
    <x v="0"/>
    <x v="0"/>
  </r>
  <r>
    <n v="1011"/>
    <n v="48"/>
    <n v="22.8"/>
    <n v="0"/>
    <n v="0"/>
    <n v="8269.0439999999999"/>
    <x v="2"/>
    <x v="0"/>
    <x v="1"/>
  </r>
  <r>
    <n v="1014"/>
    <n v="48"/>
    <n v="32.299999999999997"/>
    <n v="1"/>
    <n v="0"/>
    <n v="8765.2489999999998"/>
    <x v="3"/>
    <x v="0"/>
    <x v="0"/>
  </r>
  <r>
    <n v="1057"/>
    <n v="48"/>
    <n v="28.9"/>
    <n v="0"/>
    <n v="0"/>
    <n v="8277.5229999999992"/>
    <x v="2"/>
    <x v="0"/>
    <x v="1"/>
  </r>
  <r>
    <n v="1067"/>
    <n v="48"/>
    <n v="37.29"/>
    <n v="2"/>
    <n v="0"/>
    <n v="8978.1851000000006"/>
    <x v="0"/>
    <x v="0"/>
    <x v="0"/>
  </r>
  <r>
    <n v="1113"/>
    <n v="48"/>
    <n v="25.85"/>
    <n v="3"/>
    <n v="1"/>
    <n v="24180.933499999999"/>
    <x v="0"/>
    <x v="1"/>
    <x v="1"/>
  </r>
  <r>
    <n v="1155"/>
    <n v="48"/>
    <n v="27.93"/>
    <n v="4"/>
    <n v="0"/>
    <n v="11015.1747"/>
    <x v="3"/>
    <x v="0"/>
    <x v="1"/>
  </r>
  <r>
    <n v="1184"/>
    <n v="48"/>
    <n v="27.36"/>
    <n v="1"/>
    <n v="0"/>
    <n v="9447.3824000000004"/>
    <x v="1"/>
    <x v="0"/>
    <x v="1"/>
  </r>
  <r>
    <n v="1194"/>
    <n v="48"/>
    <n v="36.575000000000003"/>
    <n v="0"/>
    <n v="0"/>
    <n v="8671.1912499999999"/>
    <x v="3"/>
    <x v="0"/>
    <x v="1"/>
  </r>
  <r>
    <n v="1281"/>
    <n v="48"/>
    <n v="33.33"/>
    <n v="0"/>
    <n v="0"/>
    <n v="8283.6807000000008"/>
    <x v="0"/>
    <x v="0"/>
    <x v="1"/>
  </r>
  <r>
    <n v="119"/>
    <n v="49"/>
    <n v="27.17"/>
    <n v="0"/>
    <n v="0"/>
    <n v="8601.3292999999994"/>
    <x v="0"/>
    <x v="0"/>
    <x v="1"/>
  </r>
  <r>
    <n v="172"/>
    <n v="49"/>
    <n v="30.3"/>
    <n v="0"/>
    <n v="0"/>
    <n v="8116.68"/>
    <x v="2"/>
    <x v="0"/>
    <x v="0"/>
  </r>
  <r>
    <n v="270"/>
    <n v="49"/>
    <n v="25.84"/>
    <n v="1"/>
    <n v="0"/>
    <n v="9282.4806000000008"/>
    <x v="1"/>
    <x v="0"/>
    <x v="0"/>
  </r>
  <r>
    <n v="314"/>
    <n v="49"/>
    <n v="35.86"/>
    <n v="0"/>
    <n v="0"/>
    <n v="8124.4084000000003"/>
    <x v="0"/>
    <x v="0"/>
    <x v="0"/>
  </r>
  <r>
    <n v="345"/>
    <n v="49"/>
    <n v="41.47"/>
    <n v="4"/>
    <n v="0"/>
    <n v="10977.2063"/>
    <x v="0"/>
    <x v="0"/>
    <x v="1"/>
  </r>
  <r>
    <n v="366"/>
    <n v="49"/>
    <n v="30.78"/>
    <n v="1"/>
    <n v="0"/>
    <n v="9778.3472000000002"/>
    <x v="1"/>
    <x v="0"/>
    <x v="1"/>
  </r>
  <r>
    <n v="394"/>
    <n v="49"/>
    <n v="31.35"/>
    <n v="1"/>
    <n v="0"/>
    <n v="9290.1394999999993"/>
    <x v="1"/>
    <x v="0"/>
    <x v="0"/>
  </r>
  <r>
    <n v="404"/>
    <n v="49"/>
    <n v="32.299999999999997"/>
    <n v="3"/>
    <n v="0"/>
    <n v="10269.459999999999"/>
    <x v="3"/>
    <x v="0"/>
    <x v="0"/>
  </r>
  <r>
    <n v="461"/>
    <n v="49"/>
    <n v="36.630000000000003"/>
    <n v="3"/>
    <n v="0"/>
    <n v="10381.4787"/>
    <x v="0"/>
    <x v="0"/>
    <x v="1"/>
  </r>
  <r>
    <n v="482"/>
    <n v="49"/>
    <n v="37.51"/>
    <n v="2"/>
    <n v="0"/>
    <n v="9304.7019"/>
    <x v="0"/>
    <x v="0"/>
    <x v="0"/>
  </r>
  <r>
    <n v="546"/>
    <n v="49"/>
    <n v="25.84"/>
    <n v="2"/>
    <n v="1"/>
    <n v="23807.240600000001"/>
    <x v="3"/>
    <x v="1"/>
    <x v="0"/>
  </r>
  <r>
    <n v="569"/>
    <n v="49"/>
    <n v="31.9"/>
    <n v="5"/>
    <n v="0"/>
    <n v="11552.904"/>
    <x v="2"/>
    <x v="0"/>
    <x v="1"/>
  </r>
  <r>
    <n v="618"/>
    <n v="49"/>
    <n v="25.6"/>
    <n v="2"/>
    <n v="1"/>
    <n v="23306.546999999999"/>
    <x v="2"/>
    <x v="1"/>
    <x v="0"/>
  </r>
  <r>
    <n v="623"/>
    <n v="49"/>
    <n v="21.3"/>
    <n v="1"/>
    <n v="0"/>
    <n v="9182.17"/>
    <x v="2"/>
    <x v="0"/>
    <x v="1"/>
  </r>
  <r>
    <n v="651"/>
    <n v="49"/>
    <n v="42.68"/>
    <n v="2"/>
    <n v="0"/>
    <n v="9800.8881999999994"/>
    <x v="0"/>
    <x v="0"/>
    <x v="1"/>
  </r>
  <r>
    <n v="667"/>
    <n v="49"/>
    <n v="28.7"/>
    <n v="1"/>
    <n v="0"/>
    <n v="8703.4560000000001"/>
    <x v="2"/>
    <x v="0"/>
    <x v="0"/>
  </r>
  <r>
    <n v="680"/>
    <n v="49"/>
    <n v="23.18"/>
    <n v="2"/>
    <n v="0"/>
    <n v="10156.7832"/>
    <x v="3"/>
    <x v="0"/>
    <x v="1"/>
  </r>
  <r>
    <n v="708"/>
    <n v="49"/>
    <n v="28.69"/>
    <n v="3"/>
    <n v="0"/>
    <n v="10264.4421"/>
    <x v="3"/>
    <x v="0"/>
    <x v="0"/>
  </r>
  <r>
    <n v="717"/>
    <n v="49"/>
    <n v="22.61"/>
    <n v="1"/>
    <n v="0"/>
    <n v="9566.9909000000007"/>
    <x v="3"/>
    <x v="0"/>
    <x v="1"/>
  </r>
  <r>
    <n v="736"/>
    <n v="49"/>
    <n v="34.770000000000003"/>
    <n v="1"/>
    <n v="0"/>
    <n v="9583.8932999999997"/>
    <x v="3"/>
    <x v="0"/>
    <x v="1"/>
  </r>
  <r>
    <n v="855"/>
    <n v="49"/>
    <n v="23.844999999999999"/>
    <n v="3"/>
    <n v="1"/>
    <n v="24106.912550000001"/>
    <x v="1"/>
    <x v="1"/>
    <x v="1"/>
  </r>
  <r>
    <n v="877"/>
    <n v="49"/>
    <n v="27.1"/>
    <n v="1"/>
    <n v="0"/>
    <n v="26140.3603"/>
    <x v="2"/>
    <x v="0"/>
    <x v="1"/>
  </r>
  <r>
    <n v="901"/>
    <n v="49"/>
    <n v="22.515000000000001"/>
    <n v="0"/>
    <n v="0"/>
    <n v="8688.8588500000005"/>
    <x v="1"/>
    <x v="0"/>
    <x v="0"/>
  </r>
  <r>
    <n v="904"/>
    <n v="49"/>
    <n v="36.85"/>
    <n v="0"/>
    <n v="0"/>
    <n v="8125.7844999999998"/>
    <x v="0"/>
    <x v="0"/>
    <x v="0"/>
  </r>
  <r>
    <n v="1050"/>
    <n v="49"/>
    <n v="30.9"/>
    <n v="0"/>
    <n v="1"/>
    <n v="39727.614000000001"/>
    <x v="2"/>
    <x v="1"/>
    <x v="0"/>
  </r>
  <r>
    <n v="1053"/>
    <n v="49"/>
    <n v="29.83"/>
    <n v="1"/>
    <n v="0"/>
    <n v="9288.0267000000003"/>
    <x v="1"/>
    <x v="0"/>
    <x v="0"/>
  </r>
  <r>
    <n v="1107"/>
    <n v="49"/>
    <n v="29.925000000000001"/>
    <n v="0"/>
    <n v="0"/>
    <n v="8988.1587500000005"/>
    <x v="3"/>
    <x v="0"/>
    <x v="1"/>
  </r>
  <r>
    <n v="1265"/>
    <n v="49"/>
    <n v="33.344999999999999"/>
    <n v="2"/>
    <n v="0"/>
    <n v="10370.912549999999"/>
    <x v="1"/>
    <x v="0"/>
    <x v="1"/>
  </r>
  <r>
    <n v="160"/>
    <n v="50"/>
    <n v="27.83"/>
    <n v="3"/>
    <n v="0"/>
    <n v="19749.383379999999"/>
    <x v="0"/>
    <x v="0"/>
    <x v="1"/>
  </r>
  <r>
    <n v="255"/>
    <n v="50"/>
    <n v="31.824999999999999"/>
    <n v="0"/>
    <n v="1"/>
    <n v="41097.161749999999"/>
    <x v="1"/>
    <x v="1"/>
    <x v="0"/>
  </r>
  <r>
    <n v="272"/>
    <n v="50"/>
    <n v="34.200000000000003"/>
    <n v="2"/>
    <n v="1"/>
    <n v="42856.838000000003"/>
    <x v="2"/>
    <x v="1"/>
    <x v="0"/>
  </r>
  <r>
    <n v="274"/>
    <n v="50"/>
    <n v="27.454999999999998"/>
    <n v="1"/>
    <n v="0"/>
    <n v="9617.6624499999998"/>
    <x v="1"/>
    <x v="0"/>
    <x v="0"/>
  </r>
  <r>
    <n v="311"/>
    <n v="50"/>
    <n v="26.6"/>
    <n v="0"/>
    <n v="0"/>
    <n v="8444.4740000000002"/>
    <x v="2"/>
    <x v="0"/>
    <x v="0"/>
  </r>
  <r>
    <n v="317"/>
    <n v="50"/>
    <n v="32.204999999999998"/>
    <n v="0"/>
    <n v="0"/>
    <n v="8835.2649500000007"/>
    <x v="3"/>
    <x v="0"/>
    <x v="0"/>
  </r>
  <r>
    <n v="339"/>
    <n v="50"/>
    <n v="32.299999999999997"/>
    <n v="1"/>
    <n v="1"/>
    <n v="41919.097000000002"/>
    <x v="1"/>
    <x v="1"/>
    <x v="0"/>
  </r>
  <r>
    <n v="352"/>
    <n v="50"/>
    <n v="25.6"/>
    <n v="0"/>
    <n v="0"/>
    <n v="8932.0840000000007"/>
    <x v="2"/>
    <x v="0"/>
    <x v="1"/>
  </r>
  <r>
    <n v="388"/>
    <n v="50"/>
    <n v="25.364999999999998"/>
    <n v="2"/>
    <n v="0"/>
    <n v="30284.642940000002"/>
    <x v="3"/>
    <x v="0"/>
    <x v="0"/>
  </r>
  <r>
    <n v="521"/>
    <n v="50"/>
    <n v="27.36"/>
    <n v="0"/>
    <n v="0"/>
    <n v="25656.575260000001"/>
    <x v="1"/>
    <x v="0"/>
    <x v="1"/>
  </r>
  <r>
    <n v="564"/>
    <n v="50"/>
    <n v="44.77"/>
    <n v="1"/>
    <n v="0"/>
    <n v="9058.7302999999993"/>
    <x v="0"/>
    <x v="0"/>
    <x v="0"/>
  </r>
  <r>
    <n v="702"/>
    <n v="50"/>
    <n v="44.744999999999997"/>
    <n v="0"/>
    <n v="0"/>
    <n v="9541.6955500000004"/>
    <x v="1"/>
    <x v="0"/>
    <x v="1"/>
  </r>
  <r>
    <n v="712"/>
    <n v="50"/>
    <n v="23.54"/>
    <n v="2"/>
    <n v="0"/>
    <n v="10107.220600000001"/>
    <x v="0"/>
    <x v="0"/>
    <x v="1"/>
  </r>
  <r>
    <n v="725"/>
    <n v="50"/>
    <n v="27.074999999999999"/>
    <n v="1"/>
    <n v="0"/>
    <n v="10106.134249999999"/>
    <x v="1"/>
    <x v="0"/>
    <x v="1"/>
  </r>
  <r>
    <n v="745"/>
    <n v="50"/>
    <n v="26.41"/>
    <n v="0"/>
    <n v="0"/>
    <n v="8827.2098999999998"/>
    <x v="3"/>
    <x v="0"/>
    <x v="0"/>
  </r>
  <r>
    <n v="746"/>
    <n v="50"/>
    <n v="30.114999999999998"/>
    <n v="1"/>
    <n v="0"/>
    <n v="9910.3598500000007"/>
    <x v="3"/>
    <x v="0"/>
    <x v="1"/>
  </r>
  <r>
    <n v="784"/>
    <n v="50"/>
    <n v="27.6"/>
    <n v="1"/>
    <n v="1"/>
    <n v="24520.263999999999"/>
    <x v="2"/>
    <x v="1"/>
    <x v="1"/>
  </r>
  <r>
    <n v="871"/>
    <n v="50"/>
    <n v="36.200000000000003"/>
    <n v="0"/>
    <n v="0"/>
    <n v="8457.8179999999993"/>
    <x v="2"/>
    <x v="0"/>
    <x v="0"/>
  </r>
  <r>
    <n v="926"/>
    <n v="50"/>
    <n v="32.11"/>
    <n v="2"/>
    <n v="0"/>
    <n v="25333.332839999999"/>
    <x v="1"/>
    <x v="0"/>
    <x v="0"/>
  </r>
  <r>
    <n v="942"/>
    <n v="50"/>
    <n v="46.09"/>
    <n v="1"/>
    <n v="0"/>
    <n v="9549.5650999999998"/>
    <x v="0"/>
    <x v="0"/>
    <x v="1"/>
  </r>
  <r>
    <n v="971"/>
    <n v="50"/>
    <n v="28.16"/>
    <n v="3"/>
    <n v="0"/>
    <n v="10702.642400000001"/>
    <x v="0"/>
    <x v="0"/>
    <x v="1"/>
  </r>
  <r>
    <n v="993"/>
    <n v="50"/>
    <n v="31.6"/>
    <n v="2"/>
    <n v="0"/>
    <n v="10118.424000000001"/>
    <x v="2"/>
    <x v="0"/>
    <x v="1"/>
  </r>
  <r>
    <n v="1095"/>
    <n v="50"/>
    <n v="33.700000000000003"/>
    <n v="4"/>
    <n v="0"/>
    <n v="11299.343000000001"/>
    <x v="2"/>
    <x v="0"/>
    <x v="1"/>
  </r>
  <r>
    <n v="1108"/>
    <n v="50"/>
    <n v="26.22"/>
    <n v="2"/>
    <n v="0"/>
    <n v="10493.9458"/>
    <x v="3"/>
    <x v="0"/>
    <x v="1"/>
  </r>
  <r>
    <n v="1136"/>
    <n v="50"/>
    <n v="28.12"/>
    <n v="3"/>
    <n v="0"/>
    <n v="11085.586799999999"/>
    <x v="3"/>
    <x v="0"/>
    <x v="1"/>
  </r>
  <r>
    <n v="1141"/>
    <n v="50"/>
    <n v="37.07"/>
    <n v="1"/>
    <n v="0"/>
    <n v="9048.0272999999997"/>
    <x v="0"/>
    <x v="0"/>
    <x v="0"/>
  </r>
  <r>
    <n v="1145"/>
    <n v="50"/>
    <n v="32.299999999999997"/>
    <n v="2"/>
    <n v="0"/>
    <n v="9630.3970000000008"/>
    <x v="2"/>
    <x v="0"/>
    <x v="0"/>
  </r>
  <r>
    <n v="1223"/>
    <n v="50"/>
    <n v="25.3"/>
    <n v="0"/>
    <n v="0"/>
    <n v="8442.6669999999995"/>
    <x v="0"/>
    <x v="0"/>
    <x v="0"/>
  </r>
  <r>
    <n v="1334"/>
    <n v="50"/>
    <n v="30.97"/>
    <n v="3"/>
    <n v="0"/>
    <n v="10600.5483"/>
    <x v="3"/>
    <x v="0"/>
    <x v="0"/>
  </r>
  <r>
    <n v="148"/>
    <n v="51"/>
    <n v="37.729999999999997"/>
    <n v="1"/>
    <n v="0"/>
    <n v="9877.6077000000005"/>
    <x v="0"/>
    <x v="0"/>
    <x v="1"/>
  </r>
  <r>
    <n v="199"/>
    <n v="51"/>
    <n v="18.05"/>
    <n v="0"/>
    <n v="0"/>
    <n v="9644.2525000000005"/>
    <x v="3"/>
    <x v="0"/>
    <x v="1"/>
  </r>
  <r>
    <n v="259"/>
    <n v="51"/>
    <n v="24.414999999999999"/>
    <n v="4"/>
    <n v="0"/>
    <n v="11520.099850000001"/>
    <x v="3"/>
    <x v="0"/>
    <x v="0"/>
  </r>
  <r>
    <n v="280"/>
    <n v="51"/>
    <n v="21.56"/>
    <n v="1"/>
    <n v="0"/>
    <n v="9855.1314000000002"/>
    <x v="0"/>
    <x v="0"/>
    <x v="1"/>
  </r>
  <r>
    <n v="401"/>
    <n v="51"/>
    <n v="20.6"/>
    <n v="0"/>
    <n v="0"/>
    <n v="9264.7970000000005"/>
    <x v="2"/>
    <x v="0"/>
    <x v="1"/>
  </r>
  <r>
    <n v="484"/>
    <n v="51"/>
    <n v="39.5"/>
    <n v="1"/>
    <n v="0"/>
    <n v="9880.0679999999993"/>
    <x v="2"/>
    <x v="0"/>
    <x v="1"/>
  </r>
  <r>
    <n v="503"/>
    <n v="51"/>
    <n v="23.21"/>
    <n v="1"/>
    <n v="1"/>
    <n v="22218.1149"/>
    <x v="0"/>
    <x v="1"/>
    <x v="0"/>
  </r>
  <r>
    <n v="513"/>
    <n v="51"/>
    <n v="22.42"/>
    <n v="0"/>
    <n v="0"/>
    <n v="9361.3268000000007"/>
    <x v="1"/>
    <x v="0"/>
    <x v="0"/>
  </r>
  <r>
    <n v="523"/>
    <n v="51"/>
    <n v="33.914999999999999"/>
    <n v="0"/>
    <n v="0"/>
    <n v="9866.3048500000004"/>
    <x v="1"/>
    <x v="0"/>
    <x v="1"/>
  </r>
  <r>
    <n v="528"/>
    <n v="51"/>
    <n v="25.8"/>
    <n v="1"/>
    <n v="0"/>
    <n v="9861.0249999999996"/>
    <x v="2"/>
    <x v="0"/>
    <x v="1"/>
  </r>
  <r>
    <n v="602"/>
    <n v="51"/>
    <n v="31.635000000000002"/>
    <n v="0"/>
    <n v="0"/>
    <n v="9174.1356500000002"/>
    <x v="3"/>
    <x v="0"/>
    <x v="0"/>
  </r>
  <r>
    <n v="606"/>
    <n v="51"/>
    <n v="34.1"/>
    <n v="0"/>
    <n v="0"/>
    <n v="9283.5619999999999"/>
    <x v="0"/>
    <x v="0"/>
    <x v="1"/>
  </r>
  <r>
    <n v="635"/>
    <n v="51"/>
    <n v="39.700000000000003"/>
    <n v="1"/>
    <n v="0"/>
    <n v="9391.3459999999995"/>
    <x v="2"/>
    <x v="0"/>
    <x v="0"/>
  </r>
  <r>
    <n v="707"/>
    <n v="51"/>
    <n v="38.06"/>
    <n v="0"/>
    <n v="1"/>
    <n v="44400.4064"/>
    <x v="0"/>
    <x v="1"/>
    <x v="1"/>
  </r>
  <r>
    <n v="719"/>
    <n v="51"/>
    <n v="36.67"/>
    <n v="2"/>
    <n v="0"/>
    <n v="10848.1343"/>
    <x v="3"/>
    <x v="0"/>
    <x v="1"/>
  </r>
  <r>
    <n v="721"/>
    <n v="51"/>
    <n v="40.659999999999997"/>
    <n v="0"/>
    <n v="0"/>
    <n v="9875.6803999999993"/>
    <x v="1"/>
    <x v="0"/>
    <x v="1"/>
  </r>
  <r>
    <n v="776"/>
    <n v="51"/>
    <n v="33.33"/>
    <n v="3"/>
    <n v="0"/>
    <n v="10560.4917"/>
    <x v="0"/>
    <x v="0"/>
    <x v="0"/>
  </r>
  <r>
    <n v="783"/>
    <n v="51"/>
    <n v="35.97"/>
    <n v="1"/>
    <n v="0"/>
    <n v="9386.1612999999998"/>
    <x v="0"/>
    <x v="0"/>
    <x v="0"/>
  </r>
  <r>
    <n v="847"/>
    <n v="51"/>
    <n v="34.200000000000003"/>
    <n v="1"/>
    <n v="0"/>
    <n v="9872.7009999999991"/>
    <x v="2"/>
    <x v="0"/>
    <x v="1"/>
  </r>
  <r>
    <n v="865"/>
    <n v="51"/>
    <n v="25.4"/>
    <n v="0"/>
    <n v="0"/>
    <n v="8782.4689999999991"/>
    <x v="2"/>
    <x v="0"/>
    <x v="0"/>
  </r>
  <r>
    <n v="884"/>
    <n v="51"/>
    <n v="37.049999999999997"/>
    <n v="3"/>
    <n v="1"/>
    <n v="46255.112500000003"/>
    <x v="1"/>
    <x v="1"/>
    <x v="1"/>
  </r>
  <r>
    <n v="952"/>
    <n v="51"/>
    <n v="42.9"/>
    <n v="2"/>
    <n v="1"/>
    <n v="47462.894"/>
    <x v="0"/>
    <x v="1"/>
    <x v="0"/>
  </r>
  <r>
    <n v="967"/>
    <n v="51"/>
    <n v="24.795000000000002"/>
    <n v="2"/>
    <n v="1"/>
    <n v="23967.38305"/>
    <x v="3"/>
    <x v="1"/>
    <x v="0"/>
  </r>
  <r>
    <n v="1010"/>
    <n v="51"/>
    <n v="27.74"/>
    <n v="1"/>
    <n v="0"/>
    <n v="9957.7216000000008"/>
    <x v="1"/>
    <x v="0"/>
    <x v="0"/>
  </r>
  <r>
    <n v="1021"/>
    <n v="51"/>
    <n v="37"/>
    <n v="0"/>
    <n v="0"/>
    <n v="8798.5930000000008"/>
    <x v="2"/>
    <x v="0"/>
    <x v="0"/>
  </r>
  <r>
    <n v="1097"/>
    <n v="51"/>
    <n v="34.96"/>
    <n v="2"/>
    <n v="1"/>
    <n v="44641.197399999997"/>
    <x v="1"/>
    <x v="1"/>
    <x v="1"/>
  </r>
  <r>
    <n v="1204"/>
    <n v="51"/>
    <n v="32.299999999999997"/>
    <n v="1"/>
    <n v="0"/>
    <n v="9964.06"/>
    <x v="1"/>
    <x v="0"/>
    <x v="0"/>
  </r>
  <r>
    <n v="1257"/>
    <n v="51"/>
    <n v="36.384999999999998"/>
    <n v="3"/>
    <n v="0"/>
    <n v="11436.738149999999"/>
    <x v="3"/>
    <x v="0"/>
    <x v="1"/>
  </r>
  <r>
    <n v="1328"/>
    <n v="51"/>
    <n v="30.03"/>
    <n v="1"/>
    <n v="0"/>
    <n v="9377.9046999999991"/>
    <x v="0"/>
    <x v="0"/>
    <x v="0"/>
  </r>
  <r>
    <n v="17"/>
    <n v="52"/>
    <n v="30.78"/>
    <n v="1"/>
    <n v="0"/>
    <n v="10797.3362"/>
    <x v="1"/>
    <x v="0"/>
    <x v="1"/>
  </r>
  <r>
    <n v="115"/>
    <n v="52"/>
    <n v="32.204999999999998"/>
    <n v="3"/>
    <n v="0"/>
    <n v="11488.31695"/>
    <x v="1"/>
    <x v="0"/>
    <x v="0"/>
  </r>
  <r>
    <n v="128"/>
    <n v="52"/>
    <n v="37.4"/>
    <n v="0"/>
    <n v="0"/>
    <n v="9634.5380000000005"/>
    <x v="2"/>
    <x v="0"/>
    <x v="1"/>
  </r>
  <r>
    <n v="263"/>
    <n v="52"/>
    <n v="24.32"/>
    <n v="3"/>
    <n v="1"/>
    <n v="24869.836800000001"/>
    <x v="1"/>
    <x v="1"/>
    <x v="0"/>
  </r>
  <r>
    <n v="285"/>
    <n v="52"/>
    <n v="31.2"/>
    <n v="0"/>
    <n v="0"/>
    <n v="9625.92"/>
    <x v="2"/>
    <x v="0"/>
    <x v="1"/>
  </r>
  <r>
    <n v="290"/>
    <n v="52"/>
    <n v="26.4"/>
    <n v="3"/>
    <n v="0"/>
    <n v="25992.821039999999"/>
    <x v="0"/>
    <x v="0"/>
    <x v="0"/>
  </r>
  <r>
    <n v="316"/>
    <n v="52"/>
    <n v="33.25"/>
    <n v="0"/>
    <n v="0"/>
    <n v="9722.7695000000003"/>
    <x v="1"/>
    <x v="0"/>
    <x v="0"/>
  </r>
  <r>
    <n v="330"/>
    <n v="52"/>
    <n v="36.700000000000003"/>
    <n v="0"/>
    <n v="0"/>
    <n v="9144.5650000000005"/>
    <x v="2"/>
    <x v="0"/>
    <x v="0"/>
  </r>
  <r>
    <n v="332"/>
    <n v="52"/>
    <n v="27.36"/>
    <n v="0"/>
    <n v="1"/>
    <n v="24393.6224"/>
    <x v="3"/>
    <x v="1"/>
    <x v="0"/>
  </r>
  <r>
    <n v="406"/>
    <n v="52"/>
    <n v="38.380000000000003"/>
    <n v="2"/>
    <n v="0"/>
    <n v="11396.9002"/>
    <x v="1"/>
    <x v="0"/>
    <x v="1"/>
  </r>
  <r>
    <n v="417"/>
    <n v="52"/>
    <n v="34.1"/>
    <n v="0"/>
    <n v="0"/>
    <n v="9140.9509999999991"/>
    <x v="0"/>
    <x v="0"/>
    <x v="0"/>
  </r>
  <r>
    <n v="439"/>
    <n v="52"/>
    <n v="46.75"/>
    <n v="5"/>
    <n v="0"/>
    <n v="12592.5345"/>
    <x v="0"/>
    <x v="0"/>
    <x v="1"/>
  </r>
  <r>
    <n v="554"/>
    <n v="52"/>
    <n v="31.73"/>
    <n v="2"/>
    <n v="0"/>
    <n v="11187.6567"/>
    <x v="3"/>
    <x v="0"/>
    <x v="1"/>
  </r>
  <r>
    <n v="579"/>
    <n v="52"/>
    <n v="30.2"/>
    <n v="1"/>
    <n v="0"/>
    <n v="9724.5300000000007"/>
    <x v="2"/>
    <x v="0"/>
    <x v="0"/>
  </r>
  <r>
    <n v="600"/>
    <n v="52"/>
    <n v="37.524999999999999"/>
    <n v="2"/>
    <n v="0"/>
    <n v="33471.971890000001"/>
    <x v="3"/>
    <x v="0"/>
    <x v="1"/>
  </r>
  <r>
    <n v="656"/>
    <n v="52"/>
    <n v="25.3"/>
    <n v="2"/>
    <n v="1"/>
    <n v="24667.419000000002"/>
    <x v="0"/>
    <x v="1"/>
    <x v="1"/>
  </r>
  <r>
    <n v="965"/>
    <n v="52"/>
    <n v="36.765000000000001"/>
    <n v="2"/>
    <n v="0"/>
    <n v="26467.09737"/>
    <x v="3"/>
    <x v="0"/>
    <x v="0"/>
  </r>
  <r>
    <n v="1089"/>
    <n v="52"/>
    <n v="47.74"/>
    <n v="1"/>
    <n v="0"/>
    <n v="9748.9105999999992"/>
    <x v="0"/>
    <x v="0"/>
    <x v="0"/>
  </r>
  <r>
    <n v="1099"/>
    <n v="52"/>
    <n v="30.875"/>
    <n v="0"/>
    <n v="0"/>
    <n v="23045.566159999998"/>
    <x v="1"/>
    <x v="0"/>
    <x v="1"/>
  </r>
  <r>
    <n v="1134"/>
    <n v="52"/>
    <n v="18.335000000000001"/>
    <n v="0"/>
    <n v="0"/>
    <n v="9991.0376500000002"/>
    <x v="3"/>
    <x v="0"/>
    <x v="1"/>
  </r>
  <r>
    <n v="1143"/>
    <n v="52"/>
    <n v="24.86"/>
    <n v="0"/>
    <n v="0"/>
    <n v="27117.993780000001"/>
    <x v="0"/>
    <x v="0"/>
    <x v="1"/>
  </r>
  <r>
    <n v="1146"/>
    <n v="52"/>
    <n v="32.774999999999999"/>
    <n v="3"/>
    <n v="0"/>
    <n v="11289.10925"/>
    <x v="3"/>
    <x v="0"/>
    <x v="0"/>
  </r>
  <r>
    <n v="1177"/>
    <n v="52"/>
    <n v="24.13"/>
    <n v="1"/>
    <n v="1"/>
    <n v="23887.662700000001"/>
    <x v="3"/>
    <x v="1"/>
    <x v="1"/>
  </r>
  <r>
    <n v="1214"/>
    <n v="52"/>
    <n v="33.299999999999997"/>
    <n v="2"/>
    <n v="0"/>
    <n v="10806.839"/>
    <x v="2"/>
    <x v="0"/>
    <x v="1"/>
  </r>
  <r>
    <n v="1231"/>
    <n v="52"/>
    <n v="34.484999999999999"/>
    <n v="3"/>
    <n v="1"/>
    <n v="60021.398970000002"/>
    <x v="3"/>
    <x v="1"/>
    <x v="0"/>
  </r>
  <r>
    <n v="1241"/>
    <n v="52"/>
    <n v="41.8"/>
    <n v="2"/>
    <n v="1"/>
    <n v="47269.853999999999"/>
    <x v="0"/>
    <x v="1"/>
    <x v="0"/>
  </r>
  <r>
    <n v="1260"/>
    <n v="52"/>
    <n v="23.18"/>
    <n v="0"/>
    <n v="0"/>
    <n v="10197.772199999999"/>
    <x v="1"/>
    <x v="0"/>
    <x v="1"/>
  </r>
  <r>
    <n v="1330"/>
    <n v="52"/>
    <n v="38.6"/>
    <n v="2"/>
    <n v="0"/>
    <n v="10325.206"/>
    <x v="2"/>
    <x v="0"/>
    <x v="0"/>
  </r>
  <r>
    <n v="1333"/>
    <n v="52"/>
    <n v="44.7"/>
    <n v="3"/>
    <n v="0"/>
    <n v="11411.684999999999"/>
    <x v="2"/>
    <x v="0"/>
    <x v="1"/>
  </r>
  <r>
    <n v="59"/>
    <n v="53"/>
    <n v="22.88"/>
    <n v="1"/>
    <n v="1"/>
    <n v="23244.790199999999"/>
    <x v="0"/>
    <x v="1"/>
    <x v="1"/>
  </r>
  <r>
    <n v="73"/>
    <n v="53"/>
    <n v="28.1"/>
    <n v="3"/>
    <n v="0"/>
    <n v="11741.726000000001"/>
    <x v="2"/>
    <x v="0"/>
    <x v="1"/>
  </r>
  <r>
    <n v="92"/>
    <n v="53"/>
    <n v="24.795000000000002"/>
    <n v="1"/>
    <n v="0"/>
    <n v="10942.13205"/>
    <x v="3"/>
    <x v="0"/>
    <x v="1"/>
  </r>
  <r>
    <n v="133"/>
    <n v="53"/>
    <n v="35.9"/>
    <n v="2"/>
    <n v="0"/>
    <n v="11163.567999999999"/>
    <x v="2"/>
    <x v="0"/>
    <x v="1"/>
  </r>
  <r>
    <n v="149"/>
    <n v="53"/>
    <n v="37.43"/>
    <n v="1"/>
    <n v="0"/>
    <n v="10959.6947"/>
    <x v="3"/>
    <x v="0"/>
    <x v="1"/>
  </r>
  <r>
    <n v="217"/>
    <n v="53"/>
    <n v="26.6"/>
    <n v="0"/>
    <n v="0"/>
    <n v="10355.641"/>
    <x v="3"/>
    <x v="0"/>
    <x v="1"/>
  </r>
  <r>
    <n v="222"/>
    <n v="53"/>
    <n v="33.25"/>
    <n v="0"/>
    <n v="0"/>
    <n v="10564.8845"/>
    <x v="1"/>
    <x v="0"/>
    <x v="1"/>
  </r>
  <r>
    <n v="265"/>
    <n v="53"/>
    <n v="38.06"/>
    <n v="3"/>
    <n v="0"/>
    <n v="20462.997660000001"/>
    <x v="0"/>
    <x v="0"/>
    <x v="1"/>
  </r>
  <r>
    <n v="302"/>
    <n v="53"/>
    <n v="22.61"/>
    <n v="3"/>
    <n v="1"/>
    <n v="24873.384900000001"/>
    <x v="1"/>
    <x v="1"/>
    <x v="1"/>
  </r>
  <r>
    <n v="490"/>
    <n v="53"/>
    <n v="31.16"/>
    <n v="1"/>
    <n v="0"/>
    <n v="10461.9794"/>
    <x v="3"/>
    <x v="0"/>
    <x v="0"/>
  </r>
  <r>
    <n v="540"/>
    <n v="53"/>
    <n v="31.35"/>
    <n v="0"/>
    <n v="0"/>
    <n v="27346.04207"/>
    <x v="0"/>
    <x v="0"/>
    <x v="0"/>
  </r>
  <r>
    <n v="631"/>
    <n v="53"/>
    <n v="36.1"/>
    <n v="1"/>
    <n v="0"/>
    <n v="10085.846"/>
    <x v="2"/>
    <x v="0"/>
    <x v="0"/>
  </r>
  <r>
    <n v="652"/>
    <n v="53"/>
    <n v="39.6"/>
    <n v="1"/>
    <n v="0"/>
    <n v="10579.710999999999"/>
    <x v="0"/>
    <x v="0"/>
    <x v="1"/>
  </r>
  <r>
    <n v="684"/>
    <n v="53"/>
    <n v="24.32"/>
    <n v="0"/>
    <n v="0"/>
    <n v="9863.4717999999993"/>
    <x v="3"/>
    <x v="0"/>
    <x v="0"/>
  </r>
  <r>
    <n v="686"/>
    <n v="53"/>
    <n v="26.41"/>
    <n v="2"/>
    <n v="0"/>
    <n v="11244.376899999999"/>
    <x v="1"/>
    <x v="0"/>
    <x v="0"/>
  </r>
  <r>
    <n v="697"/>
    <n v="53"/>
    <n v="32.299999999999997"/>
    <n v="2"/>
    <n v="0"/>
    <n v="29186.482360000002"/>
    <x v="1"/>
    <x v="0"/>
    <x v="1"/>
  </r>
  <r>
    <n v="703"/>
    <n v="53"/>
    <n v="41.47"/>
    <n v="0"/>
    <n v="0"/>
    <n v="9504.3102999999992"/>
    <x v="0"/>
    <x v="0"/>
    <x v="0"/>
  </r>
  <r>
    <n v="722"/>
    <n v="53"/>
    <n v="36.6"/>
    <n v="3"/>
    <n v="0"/>
    <n v="11264.540999999999"/>
    <x v="2"/>
    <x v="0"/>
    <x v="0"/>
  </r>
  <r>
    <n v="732"/>
    <n v="53"/>
    <n v="21.4"/>
    <n v="1"/>
    <n v="0"/>
    <n v="10065.413"/>
    <x v="2"/>
    <x v="0"/>
    <x v="0"/>
  </r>
  <r>
    <n v="743"/>
    <n v="53"/>
    <n v="34.104999999999997"/>
    <n v="0"/>
    <n v="1"/>
    <n v="43254.417950000003"/>
    <x v="1"/>
    <x v="1"/>
    <x v="0"/>
  </r>
  <r>
    <n v="772"/>
    <n v="53"/>
    <n v="26.7"/>
    <n v="2"/>
    <n v="0"/>
    <n v="11150.78"/>
    <x v="2"/>
    <x v="0"/>
    <x v="1"/>
  </r>
  <r>
    <n v="780"/>
    <n v="53"/>
    <n v="28.88"/>
    <n v="0"/>
    <n v="0"/>
    <n v="9869.8101999999999"/>
    <x v="3"/>
    <x v="0"/>
    <x v="0"/>
  </r>
  <r>
    <n v="794"/>
    <n v="53"/>
    <n v="20.9"/>
    <n v="0"/>
    <n v="1"/>
    <n v="21195.817999999999"/>
    <x v="0"/>
    <x v="1"/>
    <x v="0"/>
  </r>
  <r>
    <n v="845"/>
    <n v="53"/>
    <n v="30.495000000000001"/>
    <n v="0"/>
    <n v="0"/>
    <n v="10072.055050000001"/>
    <x v="1"/>
    <x v="0"/>
    <x v="0"/>
  </r>
  <r>
    <n v="854"/>
    <n v="53"/>
    <n v="23.75"/>
    <n v="2"/>
    <n v="0"/>
    <n v="11729.6795"/>
    <x v="1"/>
    <x v="0"/>
    <x v="1"/>
  </r>
  <r>
    <n v="940"/>
    <n v="53"/>
    <n v="29.48"/>
    <n v="0"/>
    <n v="0"/>
    <n v="9487.6442000000006"/>
    <x v="0"/>
    <x v="0"/>
    <x v="0"/>
  </r>
  <r>
    <n v="1102"/>
    <n v="53"/>
    <n v="28.6"/>
    <n v="3"/>
    <n v="0"/>
    <n v="11253.421"/>
    <x v="2"/>
    <x v="0"/>
    <x v="0"/>
  </r>
  <r>
    <n v="1123"/>
    <n v="53"/>
    <n v="36.86"/>
    <n v="3"/>
    <n v="1"/>
    <n v="46661.4424"/>
    <x v="3"/>
    <x v="1"/>
    <x v="1"/>
  </r>
  <r>
    <n v="97"/>
    <n v="54"/>
    <n v="30.8"/>
    <n v="3"/>
    <n v="0"/>
    <n v="12105.32"/>
    <x v="2"/>
    <x v="0"/>
    <x v="1"/>
  </r>
  <r>
    <n v="111"/>
    <n v="54"/>
    <n v="33.630000000000003"/>
    <n v="1"/>
    <n v="0"/>
    <n v="10825.253699999999"/>
    <x v="3"/>
    <x v="0"/>
    <x v="0"/>
  </r>
  <r>
    <n v="139"/>
    <n v="54"/>
    <n v="31.9"/>
    <n v="3"/>
    <n v="0"/>
    <n v="27322.73386"/>
    <x v="0"/>
    <x v="0"/>
    <x v="1"/>
  </r>
  <r>
    <n v="163"/>
    <n v="54"/>
    <n v="39.6"/>
    <n v="1"/>
    <n v="0"/>
    <n v="10450.552"/>
    <x v="2"/>
    <x v="0"/>
    <x v="0"/>
  </r>
  <r>
    <n v="178"/>
    <n v="54"/>
    <n v="29.2"/>
    <n v="1"/>
    <n v="0"/>
    <n v="10436.096"/>
    <x v="2"/>
    <x v="0"/>
    <x v="0"/>
  </r>
  <r>
    <n v="246"/>
    <n v="54"/>
    <n v="30.02"/>
    <n v="0"/>
    <n v="0"/>
    <n v="24476.478510000001"/>
    <x v="3"/>
    <x v="0"/>
    <x v="0"/>
  </r>
  <r>
    <n v="253"/>
    <n v="54"/>
    <n v="34.21"/>
    <n v="2"/>
    <n v="1"/>
    <n v="44260.749900000003"/>
    <x v="0"/>
    <x v="1"/>
    <x v="0"/>
  </r>
  <r>
    <n v="282"/>
    <n v="54"/>
    <n v="40.564999999999998"/>
    <n v="3"/>
    <n v="1"/>
    <n v="48549.178350000002"/>
    <x v="1"/>
    <x v="1"/>
    <x v="0"/>
  </r>
  <r>
    <n v="318"/>
    <n v="54"/>
    <n v="32.774999999999999"/>
    <n v="0"/>
    <n v="0"/>
    <n v="10435.06525"/>
    <x v="1"/>
    <x v="0"/>
    <x v="0"/>
  </r>
  <r>
    <n v="475"/>
    <n v="54"/>
    <n v="25.1"/>
    <n v="3"/>
    <n v="1"/>
    <n v="25382.296999999999"/>
    <x v="2"/>
    <x v="1"/>
    <x v="0"/>
  </r>
  <r>
    <n v="487"/>
    <n v="54"/>
    <n v="21.47"/>
    <n v="3"/>
    <n v="0"/>
    <n v="12475.3513"/>
    <x v="3"/>
    <x v="0"/>
    <x v="1"/>
  </r>
  <r>
    <n v="544"/>
    <n v="54"/>
    <n v="47.41"/>
    <n v="0"/>
    <n v="1"/>
    <n v="63770.428010000003"/>
    <x v="0"/>
    <x v="1"/>
    <x v="1"/>
  </r>
  <r>
    <n v="545"/>
    <n v="54"/>
    <n v="30.21"/>
    <n v="0"/>
    <n v="0"/>
    <n v="10231.499900000001"/>
    <x v="3"/>
    <x v="0"/>
    <x v="0"/>
  </r>
  <r>
    <n v="548"/>
    <n v="54"/>
    <n v="46.7"/>
    <n v="2"/>
    <n v="0"/>
    <n v="11538.421"/>
    <x v="2"/>
    <x v="0"/>
    <x v="1"/>
  </r>
  <r>
    <n v="562"/>
    <n v="54"/>
    <n v="32.68"/>
    <n v="0"/>
    <n v="0"/>
    <n v="10923.933199999999"/>
    <x v="1"/>
    <x v="0"/>
    <x v="1"/>
  </r>
  <r>
    <n v="813"/>
    <n v="54"/>
    <n v="21.01"/>
    <n v="2"/>
    <n v="0"/>
    <n v="11013.7119"/>
    <x v="0"/>
    <x v="0"/>
    <x v="0"/>
  </r>
  <r>
    <n v="893"/>
    <n v="54"/>
    <n v="24.035"/>
    <n v="0"/>
    <n v="0"/>
    <n v="10422.916649999999"/>
    <x v="1"/>
    <x v="0"/>
    <x v="0"/>
  </r>
  <r>
    <n v="957"/>
    <n v="54"/>
    <n v="30.8"/>
    <n v="1"/>
    <n v="1"/>
    <n v="41999.519999999997"/>
    <x v="0"/>
    <x v="1"/>
    <x v="0"/>
  </r>
  <r>
    <n v="981"/>
    <n v="54"/>
    <n v="25.46"/>
    <n v="1"/>
    <n v="0"/>
    <n v="25517.11363"/>
    <x v="1"/>
    <x v="0"/>
    <x v="0"/>
  </r>
  <r>
    <n v="1019"/>
    <n v="54"/>
    <n v="35.814999999999998"/>
    <n v="3"/>
    <n v="0"/>
    <n v="12495.290849999999"/>
    <x v="3"/>
    <x v="0"/>
    <x v="1"/>
  </r>
  <r>
    <n v="1029"/>
    <n v="54"/>
    <n v="31.6"/>
    <n v="0"/>
    <n v="0"/>
    <n v="9850.4320000000007"/>
    <x v="2"/>
    <x v="0"/>
    <x v="0"/>
  </r>
  <r>
    <n v="1036"/>
    <n v="54"/>
    <n v="23"/>
    <n v="3"/>
    <n v="0"/>
    <n v="12094.477999999999"/>
    <x v="2"/>
    <x v="0"/>
    <x v="1"/>
  </r>
  <r>
    <n v="1070"/>
    <n v="54"/>
    <n v="31.9"/>
    <n v="1"/>
    <n v="0"/>
    <n v="10928.849"/>
    <x v="0"/>
    <x v="0"/>
    <x v="1"/>
  </r>
  <r>
    <n v="1074"/>
    <n v="54"/>
    <n v="28.88"/>
    <n v="2"/>
    <n v="0"/>
    <n v="12096.6512"/>
    <x v="1"/>
    <x v="0"/>
    <x v="1"/>
  </r>
  <r>
    <n v="1106"/>
    <n v="54"/>
    <n v="31.24"/>
    <n v="0"/>
    <n v="0"/>
    <n v="10338.9316"/>
    <x v="0"/>
    <x v="0"/>
    <x v="1"/>
  </r>
  <r>
    <n v="1111"/>
    <n v="54"/>
    <n v="32.299999999999997"/>
    <n v="1"/>
    <n v="0"/>
    <n v="11512.405000000001"/>
    <x v="1"/>
    <x v="0"/>
    <x v="1"/>
  </r>
  <r>
    <n v="1233"/>
    <n v="54"/>
    <n v="24.605"/>
    <n v="3"/>
    <n v="0"/>
    <n v="12479.70895"/>
    <x v="3"/>
    <x v="0"/>
    <x v="1"/>
  </r>
  <r>
    <n v="1258"/>
    <n v="54"/>
    <n v="27.645"/>
    <n v="1"/>
    <n v="0"/>
    <n v="11305.93455"/>
    <x v="3"/>
    <x v="0"/>
    <x v="1"/>
  </r>
  <r>
    <n v="28"/>
    <n v="55"/>
    <n v="32.774999999999999"/>
    <n v="2"/>
    <n v="0"/>
    <n v="12268.632250000001"/>
    <x v="3"/>
    <x v="0"/>
    <x v="1"/>
  </r>
  <r>
    <n v="46"/>
    <n v="55"/>
    <n v="37.299999999999997"/>
    <n v="0"/>
    <n v="0"/>
    <n v="20630.283510000001"/>
    <x v="2"/>
    <x v="0"/>
    <x v="0"/>
  </r>
  <r>
    <n v="90"/>
    <n v="55"/>
    <n v="26.98"/>
    <n v="0"/>
    <n v="0"/>
    <n v="11082.5772"/>
    <x v="3"/>
    <x v="0"/>
    <x v="1"/>
  </r>
  <r>
    <n v="98"/>
    <n v="55"/>
    <n v="38.28"/>
    <n v="0"/>
    <n v="0"/>
    <n v="10226.2842"/>
    <x v="0"/>
    <x v="0"/>
    <x v="0"/>
  </r>
  <r>
    <n v="112"/>
    <n v="55"/>
    <n v="29.7"/>
    <n v="2"/>
    <n v="0"/>
    <n v="11881.358"/>
    <x v="2"/>
    <x v="0"/>
    <x v="1"/>
  </r>
  <r>
    <n v="226"/>
    <n v="55"/>
    <n v="33.880000000000003"/>
    <n v="3"/>
    <n v="0"/>
    <n v="11987.1682"/>
    <x v="0"/>
    <x v="0"/>
    <x v="0"/>
  </r>
  <r>
    <n v="243"/>
    <n v="55"/>
    <n v="26.8"/>
    <n v="1"/>
    <n v="0"/>
    <n v="35160.134570000002"/>
    <x v="2"/>
    <x v="0"/>
    <x v="1"/>
  </r>
  <r>
    <n v="256"/>
    <n v="55"/>
    <n v="25.364999999999998"/>
    <n v="3"/>
    <n v="0"/>
    <n v="13047.332350000001"/>
    <x v="1"/>
    <x v="0"/>
    <x v="1"/>
  </r>
  <r>
    <n v="284"/>
    <n v="55"/>
    <n v="32.395000000000003"/>
    <n v="1"/>
    <n v="0"/>
    <n v="11879.10405"/>
    <x v="1"/>
    <x v="0"/>
    <x v="1"/>
  </r>
  <r>
    <n v="382"/>
    <n v="55"/>
    <n v="30.684999999999999"/>
    <n v="0"/>
    <n v="1"/>
    <n v="42303.692150000003"/>
    <x v="1"/>
    <x v="1"/>
    <x v="0"/>
  </r>
  <r>
    <n v="383"/>
    <n v="55"/>
    <n v="33"/>
    <n v="0"/>
    <n v="0"/>
    <n v="20781.48892"/>
    <x v="0"/>
    <x v="0"/>
    <x v="0"/>
  </r>
  <r>
    <n v="457"/>
    <n v="55"/>
    <n v="30.14"/>
    <n v="2"/>
    <n v="0"/>
    <n v="11881.9696"/>
    <x v="0"/>
    <x v="0"/>
    <x v="1"/>
  </r>
  <r>
    <n v="620"/>
    <n v="55"/>
    <n v="37.1"/>
    <n v="0"/>
    <n v="0"/>
    <n v="10713.644"/>
    <x v="2"/>
    <x v="0"/>
    <x v="1"/>
  </r>
  <r>
    <n v="677"/>
    <n v="55"/>
    <n v="40.81"/>
    <n v="3"/>
    <n v="0"/>
    <n v="12485.8009"/>
    <x v="0"/>
    <x v="0"/>
    <x v="1"/>
  </r>
  <r>
    <n v="850"/>
    <n v="55"/>
    <n v="32.774999999999999"/>
    <n v="0"/>
    <n v="0"/>
    <n v="10601.632250000001"/>
    <x v="3"/>
    <x v="0"/>
    <x v="0"/>
  </r>
  <r>
    <n v="863"/>
    <n v="55"/>
    <n v="33.534999999999997"/>
    <n v="2"/>
    <n v="0"/>
    <n v="12269.68865"/>
    <x v="3"/>
    <x v="0"/>
    <x v="1"/>
  </r>
  <r>
    <n v="1032"/>
    <n v="55"/>
    <n v="35.200000000000003"/>
    <n v="0"/>
    <n v="1"/>
    <n v="44423.803"/>
    <x v="0"/>
    <x v="1"/>
    <x v="1"/>
  </r>
  <r>
    <n v="1045"/>
    <n v="55"/>
    <n v="35.244999999999997"/>
    <n v="1"/>
    <n v="0"/>
    <n v="11394.065549999999"/>
    <x v="1"/>
    <x v="0"/>
    <x v="0"/>
  </r>
  <r>
    <n v="1056"/>
    <n v="55"/>
    <n v="27.645"/>
    <n v="0"/>
    <n v="0"/>
    <n v="10594.501550000001"/>
    <x v="3"/>
    <x v="0"/>
    <x v="0"/>
  </r>
  <r>
    <n v="1087"/>
    <n v="55"/>
    <n v="28.975000000000001"/>
    <n v="0"/>
    <n v="0"/>
    <n v="10796.35025"/>
    <x v="1"/>
    <x v="0"/>
    <x v="0"/>
  </r>
  <r>
    <n v="1092"/>
    <n v="55"/>
    <n v="29.83"/>
    <n v="0"/>
    <n v="0"/>
    <n v="11286.538699999999"/>
    <x v="1"/>
    <x v="0"/>
    <x v="1"/>
  </r>
  <r>
    <n v="1116"/>
    <n v="55"/>
    <n v="32.67"/>
    <n v="1"/>
    <n v="0"/>
    <n v="10807.4863"/>
    <x v="0"/>
    <x v="0"/>
    <x v="0"/>
  </r>
  <r>
    <n v="1127"/>
    <n v="55"/>
    <n v="29.9"/>
    <n v="0"/>
    <n v="0"/>
    <n v="10214.636"/>
    <x v="2"/>
    <x v="0"/>
    <x v="0"/>
  </r>
  <r>
    <n v="1149"/>
    <n v="55"/>
    <n v="21.5"/>
    <n v="1"/>
    <n v="0"/>
    <n v="10791.96"/>
    <x v="2"/>
    <x v="0"/>
    <x v="0"/>
  </r>
  <r>
    <n v="1259"/>
    <n v="55"/>
    <n v="37.715000000000003"/>
    <n v="3"/>
    <n v="0"/>
    <n v="30063.580549999999"/>
    <x v="3"/>
    <x v="0"/>
    <x v="0"/>
  </r>
  <r>
    <n v="1267"/>
    <n v="55"/>
    <n v="30.5"/>
    <n v="0"/>
    <n v="0"/>
    <n v="10704.47"/>
    <x v="2"/>
    <x v="0"/>
    <x v="1"/>
  </r>
  <r>
    <n v="14"/>
    <n v="56"/>
    <n v="39.82"/>
    <n v="0"/>
    <n v="0"/>
    <n v="11090.7178"/>
    <x v="0"/>
    <x v="0"/>
    <x v="1"/>
  </r>
  <r>
    <n v="19"/>
    <n v="56"/>
    <n v="40.299999999999997"/>
    <n v="0"/>
    <n v="0"/>
    <n v="10602.385"/>
    <x v="2"/>
    <x v="0"/>
    <x v="0"/>
  </r>
  <r>
    <n v="88"/>
    <n v="56"/>
    <n v="27.2"/>
    <n v="0"/>
    <n v="0"/>
    <n v="11073.175999999999"/>
    <x v="2"/>
    <x v="0"/>
    <x v="1"/>
  </r>
  <r>
    <n v="99"/>
    <n v="56"/>
    <n v="19.95"/>
    <n v="0"/>
    <n v="1"/>
    <n v="22412.648499999999"/>
    <x v="1"/>
    <x v="1"/>
    <x v="0"/>
  </r>
  <r>
    <n v="194"/>
    <n v="56"/>
    <n v="26.6"/>
    <n v="1"/>
    <n v="0"/>
    <n v="12044.342000000001"/>
    <x v="3"/>
    <x v="0"/>
    <x v="1"/>
  </r>
  <r>
    <n v="257"/>
    <n v="56"/>
    <n v="33.630000000000003"/>
    <n v="0"/>
    <n v="1"/>
    <n v="43921.183700000001"/>
    <x v="3"/>
    <x v="1"/>
    <x v="0"/>
  </r>
  <r>
    <n v="303"/>
    <n v="56"/>
    <n v="37.51"/>
    <n v="2"/>
    <n v="0"/>
    <n v="12265.5069"/>
    <x v="0"/>
    <x v="0"/>
    <x v="1"/>
  </r>
  <r>
    <n v="334"/>
    <n v="56"/>
    <n v="28.785"/>
    <n v="0"/>
    <n v="0"/>
    <n v="11658.379150000001"/>
    <x v="1"/>
    <x v="0"/>
    <x v="1"/>
  </r>
  <r>
    <n v="367"/>
    <n v="56"/>
    <n v="32.299999999999997"/>
    <n v="3"/>
    <n v="0"/>
    <n v="13430.264999999999"/>
    <x v="1"/>
    <x v="0"/>
    <x v="1"/>
  </r>
  <r>
    <n v="445"/>
    <n v="56"/>
    <n v="26.695"/>
    <n v="1"/>
    <n v="1"/>
    <n v="26109.32905"/>
    <x v="3"/>
    <x v="1"/>
    <x v="0"/>
  </r>
  <r>
    <n v="448"/>
    <n v="56"/>
    <n v="25.65"/>
    <n v="0"/>
    <n v="0"/>
    <n v="11454.021500000001"/>
    <x v="3"/>
    <x v="0"/>
    <x v="1"/>
  </r>
  <r>
    <n v="459"/>
    <n v="56"/>
    <n v="39.6"/>
    <n v="0"/>
    <n v="0"/>
    <n v="10601.412"/>
    <x v="2"/>
    <x v="0"/>
    <x v="0"/>
  </r>
  <r>
    <n v="464"/>
    <n v="56"/>
    <n v="25.934999999999999"/>
    <n v="0"/>
    <n v="0"/>
    <n v="11165.417649999999"/>
    <x v="1"/>
    <x v="0"/>
    <x v="0"/>
  </r>
  <r>
    <n v="468"/>
    <n v="56"/>
    <n v="33.82"/>
    <n v="2"/>
    <n v="0"/>
    <n v="12643.3778"/>
    <x v="3"/>
    <x v="0"/>
    <x v="1"/>
  </r>
  <r>
    <n v="511"/>
    <n v="56"/>
    <n v="32.11"/>
    <n v="1"/>
    <n v="0"/>
    <n v="11763.000899999999"/>
    <x v="1"/>
    <x v="0"/>
    <x v="0"/>
  </r>
  <r>
    <n v="603"/>
    <n v="56"/>
    <n v="25.3"/>
    <n v="0"/>
    <n v="0"/>
    <n v="11070.535"/>
    <x v="2"/>
    <x v="0"/>
    <x v="1"/>
  </r>
  <r>
    <n v="617"/>
    <n v="56"/>
    <n v="28.594999999999999"/>
    <n v="0"/>
    <n v="0"/>
    <n v="11658.11505"/>
    <x v="1"/>
    <x v="0"/>
    <x v="1"/>
  </r>
  <r>
    <n v="640"/>
    <n v="56"/>
    <n v="33.659999999999997"/>
    <n v="4"/>
    <n v="0"/>
    <n v="12949.1554"/>
    <x v="0"/>
    <x v="0"/>
    <x v="0"/>
  </r>
  <r>
    <n v="679"/>
    <n v="56"/>
    <n v="36.1"/>
    <n v="3"/>
    <n v="0"/>
    <n v="12363.547"/>
    <x v="2"/>
    <x v="0"/>
    <x v="0"/>
  </r>
  <r>
    <n v="699"/>
    <n v="56"/>
    <n v="33.725000000000001"/>
    <n v="0"/>
    <n v="0"/>
    <n v="10976.24575"/>
    <x v="3"/>
    <x v="0"/>
    <x v="0"/>
  </r>
  <r>
    <n v="827"/>
    <n v="56"/>
    <n v="31.79"/>
    <n v="2"/>
    <n v="1"/>
    <n v="43813.866099999999"/>
    <x v="0"/>
    <x v="1"/>
    <x v="0"/>
  </r>
  <r>
    <n v="838"/>
    <n v="56"/>
    <n v="28.31"/>
    <n v="0"/>
    <n v="0"/>
    <n v="11657.7189"/>
    <x v="1"/>
    <x v="0"/>
    <x v="1"/>
  </r>
  <r>
    <n v="946"/>
    <n v="56"/>
    <n v="35.799999999999997"/>
    <n v="1"/>
    <n v="0"/>
    <n v="11674.13"/>
    <x v="2"/>
    <x v="0"/>
    <x v="1"/>
  </r>
  <r>
    <n v="1090"/>
    <n v="56"/>
    <n v="22.1"/>
    <n v="0"/>
    <n v="0"/>
    <n v="10577.087"/>
    <x v="2"/>
    <x v="0"/>
    <x v="0"/>
  </r>
  <r>
    <n v="1173"/>
    <n v="56"/>
    <n v="41.91"/>
    <n v="0"/>
    <n v="0"/>
    <n v="11093.6229"/>
    <x v="0"/>
    <x v="0"/>
    <x v="1"/>
  </r>
  <r>
    <n v="1229"/>
    <n v="56"/>
    <n v="34.43"/>
    <n v="0"/>
    <n v="0"/>
    <n v="10594.225700000001"/>
    <x v="0"/>
    <x v="0"/>
    <x v="0"/>
  </r>
  <r>
    <n v="76"/>
    <n v="57"/>
    <n v="34.01"/>
    <n v="0"/>
    <n v="0"/>
    <n v="11356.660900000001"/>
    <x v="3"/>
    <x v="0"/>
    <x v="0"/>
  </r>
  <r>
    <n v="87"/>
    <n v="57"/>
    <n v="31.16"/>
    <n v="0"/>
    <n v="1"/>
    <n v="43578.939400000003"/>
    <x v="3"/>
    <x v="1"/>
    <x v="1"/>
  </r>
  <r>
    <n v="305"/>
    <n v="57"/>
    <n v="38"/>
    <n v="2"/>
    <n v="0"/>
    <n v="12646.207"/>
    <x v="2"/>
    <x v="0"/>
    <x v="1"/>
  </r>
  <r>
    <n v="324"/>
    <n v="57"/>
    <n v="40.945"/>
    <n v="0"/>
    <n v="0"/>
    <n v="11566.30055"/>
    <x v="1"/>
    <x v="0"/>
    <x v="0"/>
  </r>
  <r>
    <n v="351"/>
    <n v="57"/>
    <n v="23.18"/>
    <n v="0"/>
    <n v="0"/>
    <n v="11830.6072"/>
    <x v="3"/>
    <x v="0"/>
    <x v="1"/>
  </r>
  <r>
    <n v="372"/>
    <n v="57"/>
    <n v="22.23"/>
    <n v="0"/>
    <n v="0"/>
    <n v="12029.286700000001"/>
    <x v="1"/>
    <x v="0"/>
    <x v="1"/>
  </r>
  <r>
    <n v="458"/>
    <n v="57"/>
    <n v="30.495000000000001"/>
    <n v="0"/>
    <n v="0"/>
    <n v="11840.77505"/>
    <x v="3"/>
    <x v="0"/>
    <x v="1"/>
  </r>
  <r>
    <n v="510"/>
    <n v="57"/>
    <n v="28.7"/>
    <n v="0"/>
    <n v="0"/>
    <n v="11455.28"/>
    <x v="2"/>
    <x v="0"/>
    <x v="1"/>
  </r>
  <r>
    <n v="531"/>
    <n v="57"/>
    <n v="42.13"/>
    <n v="1"/>
    <n v="1"/>
    <n v="48675.517699999997"/>
    <x v="0"/>
    <x v="1"/>
    <x v="0"/>
  </r>
  <r>
    <n v="575"/>
    <n v="57"/>
    <n v="34.295000000000002"/>
    <n v="2"/>
    <n v="0"/>
    <n v="13224.057049999999"/>
    <x v="1"/>
    <x v="0"/>
    <x v="1"/>
  </r>
  <r>
    <n v="660"/>
    <n v="57"/>
    <n v="28.785"/>
    <n v="4"/>
    <n v="0"/>
    <n v="14394.398150000001"/>
    <x v="1"/>
    <x v="0"/>
    <x v="1"/>
  </r>
  <r>
    <n v="662"/>
    <n v="57"/>
    <n v="23.98"/>
    <n v="1"/>
    <n v="0"/>
    <n v="22192.437109999999"/>
    <x v="0"/>
    <x v="0"/>
    <x v="1"/>
  </r>
  <r>
    <n v="766"/>
    <n v="57"/>
    <n v="31.824999999999999"/>
    <n v="0"/>
    <n v="0"/>
    <n v="11842.623750000001"/>
    <x v="3"/>
    <x v="0"/>
    <x v="1"/>
  </r>
  <r>
    <n v="844"/>
    <n v="57"/>
    <n v="29.81"/>
    <n v="0"/>
    <n v="1"/>
    <n v="27533.912899999999"/>
    <x v="0"/>
    <x v="1"/>
    <x v="1"/>
  </r>
  <r>
    <n v="860"/>
    <n v="57"/>
    <n v="28.1"/>
    <n v="0"/>
    <n v="0"/>
    <n v="10965.446"/>
    <x v="2"/>
    <x v="0"/>
    <x v="0"/>
  </r>
  <r>
    <n v="868"/>
    <n v="57"/>
    <n v="43.7"/>
    <n v="1"/>
    <n v="0"/>
    <n v="11576.13"/>
    <x v="2"/>
    <x v="0"/>
    <x v="0"/>
  </r>
  <r>
    <n v="887"/>
    <n v="57"/>
    <n v="28.975000000000001"/>
    <n v="0"/>
    <n v="1"/>
    <n v="27218.437249999999"/>
    <x v="1"/>
    <x v="1"/>
    <x v="0"/>
  </r>
  <r>
    <n v="890"/>
    <n v="57"/>
    <n v="33.630000000000003"/>
    <n v="1"/>
    <n v="0"/>
    <n v="11945.1327"/>
    <x v="3"/>
    <x v="0"/>
    <x v="0"/>
  </r>
  <r>
    <n v="928"/>
    <n v="57"/>
    <n v="20.100000000000001"/>
    <n v="1"/>
    <n v="0"/>
    <n v="12032.325999999999"/>
    <x v="2"/>
    <x v="0"/>
    <x v="1"/>
  </r>
  <r>
    <n v="951"/>
    <n v="57"/>
    <n v="18.335000000000001"/>
    <n v="0"/>
    <n v="0"/>
    <n v="11534.872649999999"/>
    <x v="1"/>
    <x v="0"/>
    <x v="0"/>
  </r>
  <r>
    <n v="1062"/>
    <n v="57"/>
    <n v="27.94"/>
    <n v="1"/>
    <n v="0"/>
    <n v="11554.223599999999"/>
    <x v="0"/>
    <x v="0"/>
    <x v="0"/>
  </r>
  <r>
    <n v="1088"/>
    <n v="57"/>
    <n v="31.54"/>
    <n v="0"/>
    <n v="0"/>
    <n v="11353.2276"/>
    <x v="3"/>
    <x v="0"/>
    <x v="0"/>
  </r>
  <r>
    <n v="1133"/>
    <n v="57"/>
    <n v="40.28"/>
    <n v="0"/>
    <n v="0"/>
    <n v="20709.020339999999"/>
    <x v="1"/>
    <x v="0"/>
    <x v="0"/>
  </r>
  <r>
    <n v="1167"/>
    <n v="57"/>
    <n v="40.369999999999997"/>
    <n v="0"/>
    <n v="0"/>
    <n v="10982.5013"/>
    <x v="0"/>
    <x v="0"/>
    <x v="0"/>
  </r>
  <r>
    <n v="1276"/>
    <n v="57"/>
    <n v="23.7"/>
    <n v="0"/>
    <n v="0"/>
    <n v="10959.33"/>
    <x v="2"/>
    <x v="0"/>
    <x v="0"/>
  </r>
  <r>
    <n v="1331"/>
    <n v="57"/>
    <n v="25.74"/>
    <n v="2"/>
    <n v="0"/>
    <n v="12629.1656"/>
    <x v="0"/>
    <x v="0"/>
    <x v="1"/>
  </r>
  <r>
    <n v="56"/>
    <n v="58"/>
    <n v="36.954999999999998"/>
    <n v="2"/>
    <n v="1"/>
    <n v="47496.494449999998"/>
    <x v="3"/>
    <x v="1"/>
    <x v="0"/>
  </r>
  <r>
    <n v="57"/>
    <n v="58"/>
    <n v="31.824999999999999"/>
    <n v="2"/>
    <n v="0"/>
    <n v="13607.36875"/>
    <x v="1"/>
    <x v="0"/>
    <x v="1"/>
  </r>
  <r>
    <n v="74"/>
    <n v="58"/>
    <n v="32.01"/>
    <n v="1"/>
    <n v="0"/>
    <n v="11946.625899999999"/>
    <x v="0"/>
    <x v="0"/>
    <x v="0"/>
  </r>
  <r>
    <n v="117"/>
    <n v="58"/>
    <n v="49.06"/>
    <n v="0"/>
    <n v="0"/>
    <n v="11381.3254"/>
    <x v="0"/>
    <x v="0"/>
    <x v="0"/>
  </r>
  <r>
    <n v="181"/>
    <n v="58"/>
    <n v="28.594999999999999"/>
    <n v="0"/>
    <n v="0"/>
    <n v="11735.87905"/>
    <x v="3"/>
    <x v="0"/>
    <x v="0"/>
  </r>
  <r>
    <n v="228"/>
    <n v="58"/>
    <n v="41.91"/>
    <n v="0"/>
    <n v="0"/>
    <n v="24227.337240000001"/>
    <x v="0"/>
    <x v="0"/>
    <x v="1"/>
  </r>
  <r>
    <n v="261"/>
    <n v="58"/>
    <n v="25.2"/>
    <n v="0"/>
    <n v="0"/>
    <n v="11837.16"/>
    <x v="2"/>
    <x v="0"/>
    <x v="1"/>
  </r>
  <r>
    <n v="309"/>
    <n v="58"/>
    <n v="34.865000000000002"/>
    <n v="0"/>
    <n v="0"/>
    <n v="11944.594349999999"/>
    <x v="1"/>
    <x v="0"/>
    <x v="0"/>
  </r>
  <r>
    <n v="387"/>
    <n v="58"/>
    <n v="39.049999999999997"/>
    <n v="0"/>
    <n v="0"/>
    <n v="11856.4115"/>
    <x v="0"/>
    <x v="0"/>
    <x v="1"/>
  </r>
  <r>
    <n v="516"/>
    <n v="58"/>
    <n v="35.700000000000003"/>
    <n v="0"/>
    <n v="0"/>
    <n v="11362.754999999999"/>
    <x v="2"/>
    <x v="0"/>
    <x v="0"/>
  </r>
  <r>
    <n v="576"/>
    <n v="58"/>
    <n v="27.17"/>
    <n v="0"/>
    <n v="0"/>
    <n v="12222.898300000001"/>
    <x v="3"/>
    <x v="0"/>
    <x v="1"/>
  </r>
  <r>
    <n v="591"/>
    <n v="58"/>
    <n v="29"/>
    <n v="0"/>
    <n v="0"/>
    <n v="11842.441999999999"/>
    <x v="2"/>
    <x v="0"/>
    <x v="1"/>
  </r>
  <r>
    <n v="629"/>
    <n v="58"/>
    <n v="38"/>
    <n v="0"/>
    <n v="0"/>
    <n v="11365.951999999999"/>
    <x v="2"/>
    <x v="0"/>
    <x v="0"/>
  </r>
  <r>
    <n v="650"/>
    <n v="58"/>
    <n v="32.965000000000003"/>
    <n v="0"/>
    <n v="0"/>
    <n v="12430.95335"/>
    <x v="1"/>
    <x v="0"/>
    <x v="1"/>
  </r>
  <r>
    <n v="720"/>
    <n v="58"/>
    <n v="33.44"/>
    <n v="0"/>
    <n v="0"/>
    <n v="12231.613600000001"/>
    <x v="3"/>
    <x v="0"/>
    <x v="1"/>
  </r>
  <r>
    <n v="754"/>
    <n v="58"/>
    <n v="22.77"/>
    <n v="0"/>
    <n v="0"/>
    <n v="11833.782300000001"/>
    <x v="0"/>
    <x v="0"/>
    <x v="1"/>
  </r>
  <r>
    <n v="799"/>
    <n v="58"/>
    <n v="33.1"/>
    <n v="0"/>
    <n v="0"/>
    <n v="11848.141"/>
    <x v="2"/>
    <x v="0"/>
    <x v="1"/>
  </r>
  <r>
    <n v="834"/>
    <n v="58"/>
    <n v="34.39"/>
    <n v="0"/>
    <n v="0"/>
    <n v="11743.9341"/>
    <x v="3"/>
    <x v="0"/>
    <x v="0"/>
  </r>
  <r>
    <n v="1104"/>
    <n v="58"/>
    <n v="36.08"/>
    <n v="0"/>
    <n v="0"/>
    <n v="11363.2832"/>
    <x v="0"/>
    <x v="0"/>
    <x v="0"/>
  </r>
  <r>
    <n v="1152"/>
    <n v="58"/>
    <n v="36.479999999999997"/>
    <n v="0"/>
    <n v="0"/>
    <n v="12235.8392"/>
    <x v="3"/>
    <x v="0"/>
    <x v="1"/>
  </r>
  <r>
    <n v="1193"/>
    <n v="58"/>
    <n v="32.395000000000003"/>
    <n v="1"/>
    <n v="0"/>
    <n v="13019.161050000001"/>
    <x v="1"/>
    <x v="0"/>
    <x v="1"/>
  </r>
  <r>
    <n v="1230"/>
    <n v="58"/>
    <n v="30.305"/>
    <n v="0"/>
    <n v="0"/>
    <n v="11938.255950000001"/>
    <x v="1"/>
    <x v="0"/>
    <x v="0"/>
  </r>
  <r>
    <n v="1234"/>
    <n v="58"/>
    <n v="23.3"/>
    <n v="0"/>
    <n v="0"/>
    <n v="11345.519"/>
    <x v="2"/>
    <x v="0"/>
    <x v="0"/>
  </r>
  <r>
    <n v="1238"/>
    <n v="58"/>
    <n v="28.215"/>
    <n v="0"/>
    <n v="0"/>
    <n v="12224.350850000001"/>
    <x v="3"/>
    <x v="0"/>
    <x v="1"/>
  </r>
  <r>
    <n v="1295"/>
    <n v="58"/>
    <n v="25.175000000000001"/>
    <n v="0"/>
    <n v="0"/>
    <n v="11931.125249999999"/>
    <x v="1"/>
    <x v="0"/>
    <x v="0"/>
  </r>
  <r>
    <n v="26"/>
    <n v="59"/>
    <n v="27.72"/>
    <n v="3"/>
    <n v="0"/>
    <n v="14001.1338"/>
    <x v="0"/>
    <x v="0"/>
    <x v="1"/>
  </r>
  <r>
    <n v="93"/>
    <n v="59"/>
    <n v="29.83"/>
    <n v="3"/>
    <n v="1"/>
    <n v="30184.936699999998"/>
    <x v="1"/>
    <x v="1"/>
    <x v="0"/>
  </r>
  <r>
    <n v="131"/>
    <n v="59"/>
    <n v="26.504999999999999"/>
    <n v="0"/>
    <n v="0"/>
    <n v="12815.444949999999"/>
    <x v="1"/>
    <x v="0"/>
    <x v="1"/>
  </r>
  <r>
    <n v="207"/>
    <n v="59"/>
    <n v="26.4"/>
    <n v="0"/>
    <n v="0"/>
    <n v="11743.299000000001"/>
    <x v="0"/>
    <x v="0"/>
    <x v="0"/>
  </r>
  <r>
    <n v="232"/>
    <n v="59"/>
    <n v="27.83"/>
    <n v="3"/>
    <n v="0"/>
    <n v="14001.286700000001"/>
    <x v="0"/>
    <x v="0"/>
    <x v="1"/>
  </r>
  <r>
    <n v="234"/>
    <n v="59"/>
    <n v="27.5"/>
    <n v="1"/>
    <n v="0"/>
    <n v="12333.828"/>
    <x v="2"/>
    <x v="0"/>
    <x v="0"/>
  </r>
  <r>
    <n v="268"/>
    <n v="59"/>
    <n v="32.395000000000003"/>
    <n v="3"/>
    <n v="0"/>
    <n v="14590.63205"/>
    <x v="1"/>
    <x v="0"/>
    <x v="1"/>
  </r>
  <r>
    <n v="279"/>
    <n v="59"/>
    <n v="31.79"/>
    <n v="2"/>
    <n v="0"/>
    <n v="12928.7911"/>
    <x v="0"/>
    <x v="0"/>
    <x v="0"/>
  </r>
  <r>
    <n v="289"/>
    <n v="59"/>
    <n v="36.765000000000001"/>
    <n v="1"/>
    <n v="1"/>
    <n v="47896.79135"/>
    <x v="1"/>
    <x v="1"/>
    <x v="1"/>
  </r>
  <r>
    <n v="444"/>
    <n v="59"/>
    <n v="36.520000000000003"/>
    <n v="1"/>
    <n v="0"/>
    <n v="28287.897659999999"/>
    <x v="0"/>
    <x v="0"/>
    <x v="1"/>
  </r>
  <r>
    <n v="456"/>
    <n v="59"/>
    <n v="37.4"/>
    <n v="0"/>
    <n v="0"/>
    <n v="21797.000400000001"/>
    <x v="2"/>
    <x v="0"/>
    <x v="0"/>
  </r>
  <r>
    <n v="533"/>
    <n v="59"/>
    <n v="29.7"/>
    <n v="2"/>
    <n v="0"/>
    <n v="12925.886"/>
    <x v="0"/>
    <x v="0"/>
    <x v="0"/>
  </r>
  <r>
    <n v="581"/>
    <n v="59"/>
    <n v="25.46"/>
    <n v="1"/>
    <n v="0"/>
    <n v="12913.992399999999"/>
    <x v="1"/>
    <x v="0"/>
    <x v="0"/>
  </r>
  <r>
    <n v="608"/>
    <n v="59"/>
    <n v="23.655000000000001"/>
    <n v="0"/>
    <n v="1"/>
    <n v="25678.778450000002"/>
    <x v="3"/>
    <x v="1"/>
    <x v="1"/>
  </r>
  <r>
    <n v="625"/>
    <n v="59"/>
    <n v="28.785"/>
    <n v="0"/>
    <n v="0"/>
    <n v="12129.614149999999"/>
    <x v="3"/>
    <x v="0"/>
    <x v="0"/>
  </r>
  <r>
    <n v="655"/>
    <n v="59"/>
    <n v="35.200000000000003"/>
    <n v="0"/>
    <n v="0"/>
    <n v="12244.531000000001"/>
    <x v="0"/>
    <x v="0"/>
    <x v="1"/>
  </r>
  <r>
    <n v="735"/>
    <n v="59"/>
    <n v="32.1"/>
    <n v="3"/>
    <n v="0"/>
    <n v="14007.222"/>
    <x v="2"/>
    <x v="0"/>
    <x v="1"/>
  </r>
  <r>
    <n v="840"/>
    <n v="59"/>
    <n v="31.35"/>
    <n v="0"/>
    <n v="0"/>
    <n v="12622.1795"/>
    <x v="3"/>
    <x v="0"/>
    <x v="1"/>
  </r>
  <r>
    <n v="842"/>
    <n v="59"/>
    <n v="24.7"/>
    <n v="0"/>
    <n v="0"/>
    <n v="12323.936"/>
    <x v="1"/>
    <x v="0"/>
    <x v="0"/>
  </r>
  <r>
    <n v="913"/>
    <n v="59"/>
    <n v="26.695"/>
    <n v="3"/>
    <n v="0"/>
    <n v="14382.709049999999"/>
    <x v="3"/>
    <x v="0"/>
    <x v="1"/>
  </r>
  <r>
    <n v="936"/>
    <n v="59"/>
    <n v="27.5"/>
    <n v="0"/>
    <n v="0"/>
    <n v="12233.828"/>
    <x v="2"/>
    <x v="0"/>
    <x v="1"/>
  </r>
  <r>
    <n v="1016"/>
    <n v="59"/>
    <n v="25.46"/>
    <n v="0"/>
    <n v="0"/>
    <n v="12124.992399999999"/>
    <x v="3"/>
    <x v="0"/>
    <x v="0"/>
  </r>
  <r>
    <n v="1063"/>
    <n v="59"/>
    <n v="41.14"/>
    <n v="1"/>
    <n v="1"/>
    <n v="48970.247600000002"/>
    <x v="0"/>
    <x v="1"/>
    <x v="0"/>
  </r>
  <r>
    <n v="1207"/>
    <n v="59"/>
    <n v="34.799999999999997"/>
    <n v="2"/>
    <n v="0"/>
    <n v="36910.608030000003"/>
    <x v="2"/>
    <x v="0"/>
    <x v="1"/>
  </r>
  <r>
    <n v="1210"/>
    <n v="59"/>
    <n v="37.1"/>
    <n v="1"/>
    <n v="0"/>
    <n v="12347.172"/>
    <x v="2"/>
    <x v="0"/>
    <x v="0"/>
  </r>
  <r>
    <n v="10"/>
    <n v="60"/>
    <n v="25.84"/>
    <n v="0"/>
    <n v="0"/>
    <n v="28923.136920000001"/>
    <x v="3"/>
    <x v="0"/>
    <x v="1"/>
  </r>
  <r>
    <n v="21"/>
    <n v="60"/>
    <n v="36.005000000000003"/>
    <n v="0"/>
    <n v="0"/>
    <n v="13228.846949999999"/>
    <x v="1"/>
    <x v="0"/>
    <x v="1"/>
  </r>
  <r>
    <n v="40"/>
    <n v="60"/>
    <n v="39.9"/>
    <n v="0"/>
    <n v="1"/>
    <n v="48173.360999999997"/>
    <x v="2"/>
    <x v="1"/>
    <x v="0"/>
  </r>
  <r>
    <n v="49"/>
    <n v="60"/>
    <n v="24.53"/>
    <n v="0"/>
    <n v="0"/>
    <n v="12629.896699999999"/>
    <x v="0"/>
    <x v="0"/>
    <x v="1"/>
  </r>
  <r>
    <n v="116"/>
    <n v="60"/>
    <n v="28.594999999999999"/>
    <n v="0"/>
    <n v="0"/>
    <n v="30259.995559999999"/>
    <x v="1"/>
    <x v="0"/>
    <x v="0"/>
  </r>
  <r>
    <n v="203"/>
    <n v="60"/>
    <n v="24.035"/>
    <n v="0"/>
    <n v="0"/>
    <n v="13012.20865"/>
    <x v="3"/>
    <x v="0"/>
    <x v="1"/>
  </r>
  <r>
    <n v="247"/>
    <n v="60"/>
    <n v="38.06"/>
    <n v="0"/>
    <n v="0"/>
    <n v="12648.7034"/>
    <x v="0"/>
    <x v="0"/>
    <x v="1"/>
  </r>
  <r>
    <n v="337"/>
    <n v="60"/>
    <n v="25.74"/>
    <n v="0"/>
    <n v="0"/>
    <n v="12142.578600000001"/>
    <x v="0"/>
    <x v="0"/>
    <x v="0"/>
  </r>
  <r>
    <n v="343"/>
    <n v="60"/>
    <n v="27.55"/>
    <n v="0"/>
    <n v="0"/>
    <n v="13217.094499999999"/>
    <x v="1"/>
    <x v="0"/>
    <x v="1"/>
  </r>
  <r>
    <n v="434"/>
    <n v="60"/>
    <n v="30.5"/>
    <n v="0"/>
    <n v="0"/>
    <n v="12638.195"/>
    <x v="2"/>
    <x v="0"/>
    <x v="1"/>
  </r>
  <r>
    <n v="436"/>
    <n v="60"/>
    <n v="33.11"/>
    <n v="3"/>
    <n v="0"/>
    <n v="13919.822899999999"/>
    <x v="0"/>
    <x v="0"/>
    <x v="0"/>
  </r>
  <r>
    <n v="447"/>
    <n v="60"/>
    <n v="29.64"/>
    <n v="0"/>
    <n v="0"/>
    <n v="12730.999599999999"/>
    <x v="1"/>
    <x v="0"/>
    <x v="0"/>
  </r>
  <r>
    <n v="467"/>
    <n v="60"/>
    <n v="28.7"/>
    <n v="1"/>
    <n v="0"/>
    <n v="13224.692999999999"/>
    <x v="2"/>
    <x v="0"/>
    <x v="1"/>
  </r>
  <r>
    <n v="678"/>
    <n v="60"/>
    <n v="31.35"/>
    <n v="3"/>
    <n v="1"/>
    <n v="46130.5265"/>
    <x v="3"/>
    <x v="1"/>
    <x v="0"/>
  </r>
  <r>
    <n v="716"/>
    <n v="60"/>
    <n v="28.9"/>
    <n v="0"/>
    <n v="0"/>
    <n v="12146.971"/>
    <x v="2"/>
    <x v="0"/>
    <x v="0"/>
  </r>
  <r>
    <n v="718"/>
    <n v="60"/>
    <n v="24.32"/>
    <n v="1"/>
    <n v="0"/>
    <n v="13112.604799999999"/>
    <x v="3"/>
    <x v="0"/>
    <x v="0"/>
  </r>
  <r>
    <n v="787"/>
    <n v="60"/>
    <n v="36.954999999999998"/>
    <n v="0"/>
    <n v="0"/>
    <n v="12741.167450000001"/>
    <x v="1"/>
    <x v="0"/>
    <x v="0"/>
  </r>
  <r>
    <n v="825"/>
    <n v="60"/>
    <n v="24.32"/>
    <n v="0"/>
    <n v="0"/>
    <n v="12523.604799999999"/>
    <x v="3"/>
    <x v="0"/>
    <x v="0"/>
  </r>
  <r>
    <n v="846"/>
    <n v="60"/>
    <n v="32.450000000000003"/>
    <n v="0"/>
    <n v="1"/>
    <n v="45008.955499999996"/>
    <x v="0"/>
    <x v="1"/>
    <x v="1"/>
  </r>
  <r>
    <n v="902"/>
    <n v="60"/>
    <n v="40.92"/>
    <n v="0"/>
    <n v="1"/>
    <n v="48673.558799999999"/>
    <x v="0"/>
    <x v="1"/>
    <x v="0"/>
  </r>
  <r>
    <n v="905"/>
    <n v="60"/>
    <n v="35.1"/>
    <n v="0"/>
    <n v="0"/>
    <n v="12644.589"/>
    <x v="2"/>
    <x v="0"/>
    <x v="1"/>
  </r>
  <r>
    <n v="1075"/>
    <n v="60"/>
    <n v="18.335000000000001"/>
    <n v="0"/>
    <n v="0"/>
    <n v="13204.28565"/>
    <x v="1"/>
    <x v="0"/>
    <x v="1"/>
  </r>
  <r>
    <n v="1147"/>
    <n v="60"/>
    <n v="32.799999999999997"/>
    <n v="0"/>
    <n v="1"/>
    <n v="52590.829389999999"/>
    <x v="2"/>
    <x v="1"/>
    <x v="0"/>
  </r>
  <r>
    <n v="67"/>
    <n v="61"/>
    <n v="39.1"/>
    <n v="2"/>
    <n v="0"/>
    <n v="14235.072"/>
    <x v="2"/>
    <x v="0"/>
    <x v="1"/>
  </r>
  <r>
    <n v="104"/>
    <n v="61"/>
    <n v="29.92"/>
    <n v="3"/>
    <n v="1"/>
    <n v="30942.191800000001"/>
    <x v="0"/>
    <x v="1"/>
    <x v="1"/>
  </r>
  <r>
    <n v="132"/>
    <n v="61"/>
    <n v="22.04"/>
    <n v="0"/>
    <n v="0"/>
    <n v="13616.3586"/>
    <x v="1"/>
    <x v="0"/>
    <x v="1"/>
  </r>
  <r>
    <n v="191"/>
    <n v="61"/>
    <n v="31.57"/>
    <n v="0"/>
    <n v="0"/>
    <n v="12557.605299999999"/>
    <x v="0"/>
    <x v="0"/>
    <x v="0"/>
  </r>
  <r>
    <n v="331"/>
    <n v="61"/>
    <n v="36.384999999999998"/>
    <n v="1"/>
    <n v="1"/>
    <n v="48517.563150000002"/>
    <x v="1"/>
    <x v="1"/>
    <x v="1"/>
  </r>
  <r>
    <n v="333"/>
    <n v="61"/>
    <n v="31.16"/>
    <n v="0"/>
    <n v="0"/>
    <n v="13429.035400000001"/>
    <x v="3"/>
    <x v="0"/>
    <x v="1"/>
  </r>
  <r>
    <n v="371"/>
    <n v="61"/>
    <n v="21.09"/>
    <n v="0"/>
    <n v="0"/>
    <n v="13415.0381"/>
    <x v="3"/>
    <x v="0"/>
    <x v="1"/>
  </r>
  <r>
    <n v="422"/>
    <n v="61"/>
    <n v="35.86"/>
    <n v="0"/>
    <n v="1"/>
    <n v="46599.108399999997"/>
    <x v="0"/>
    <x v="1"/>
    <x v="0"/>
  </r>
  <r>
    <n v="476"/>
    <n v="61"/>
    <n v="28.31"/>
    <n v="1"/>
    <n v="1"/>
    <n v="28868.6639"/>
    <x v="3"/>
    <x v="1"/>
    <x v="0"/>
  </r>
  <r>
    <n v="492"/>
    <n v="61"/>
    <n v="25.08"/>
    <n v="0"/>
    <n v="0"/>
    <n v="24513.091260000001"/>
    <x v="0"/>
    <x v="0"/>
    <x v="1"/>
  </r>
  <r>
    <n v="494"/>
    <n v="61"/>
    <n v="43.4"/>
    <n v="0"/>
    <n v="0"/>
    <n v="12574.049000000001"/>
    <x v="2"/>
    <x v="0"/>
    <x v="0"/>
  </r>
  <r>
    <n v="589"/>
    <n v="61"/>
    <n v="35.909999999999997"/>
    <n v="0"/>
    <n v="0"/>
    <n v="13635.6379"/>
    <x v="1"/>
    <x v="0"/>
    <x v="1"/>
  </r>
  <r>
    <n v="643"/>
    <n v="61"/>
    <n v="33.914999999999999"/>
    <n v="0"/>
    <n v="0"/>
    <n v="13143.86485"/>
    <x v="1"/>
    <x v="0"/>
    <x v="0"/>
  </r>
  <r>
    <n v="771"/>
    <n v="61"/>
    <n v="36.1"/>
    <n v="3"/>
    <n v="0"/>
    <n v="27941.28758"/>
    <x v="2"/>
    <x v="0"/>
    <x v="0"/>
  </r>
  <r>
    <n v="852"/>
    <n v="61"/>
    <n v="32.299999999999997"/>
    <n v="2"/>
    <n v="0"/>
    <n v="14119.62"/>
    <x v="3"/>
    <x v="0"/>
    <x v="0"/>
  </r>
  <r>
    <n v="869"/>
    <n v="61"/>
    <n v="23.655000000000001"/>
    <n v="0"/>
    <n v="0"/>
    <n v="13129.603450000001"/>
    <x v="1"/>
    <x v="0"/>
    <x v="0"/>
  </r>
  <r>
    <n v="896"/>
    <n v="61"/>
    <n v="44"/>
    <n v="0"/>
    <n v="0"/>
    <n v="13063.883"/>
    <x v="2"/>
    <x v="0"/>
    <x v="1"/>
  </r>
  <r>
    <n v="919"/>
    <n v="61"/>
    <n v="28.2"/>
    <n v="0"/>
    <n v="0"/>
    <n v="13041.921"/>
    <x v="2"/>
    <x v="0"/>
    <x v="1"/>
  </r>
  <r>
    <n v="1013"/>
    <n v="61"/>
    <n v="33.33"/>
    <n v="4"/>
    <n v="0"/>
    <n v="36580.282160000002"/>
    <x v="0"/>
    <x v="0"/>
    <x v="1"/>
  </r>
  <r>
    <n v="1035"/>
    <n v="61"/>
    <n v="38.380000000000003"/>
    <n v="0"/>
    <n v="0"/>
    <n v="12950.0712"/>
    <x v="3"/>
    <x v="0"/>
    <x v="0"/>
  </r>
  <r>
    <n v="1285"/>
    <n v="61"/>
    <n v="36.299999999999997"/>
    <n v="1"/>
    <n v="1"/>
    <n v="47403.88"/>
    <x v="2"/>
    <x v="1"/>
    <x v="0"/>
  </r>
  <r>
    <n v="1326"/>
    <n v="61"/>
    <n v="33.534999999999997"/>
    <n v="0"/>
    <n v="0"/>
    <n v="13143.336649999999"/>
    <x v="1"/>
    <x v="0"/>
    <x v="0"/>
  </r>
  <r>
    <n v="1338"/>
    <n v="61"/>
    <n v="29.07"/>
    <n v="0"/>
    <n v="1"/>
    <n v="29141.3603"/>
    <x v="3"/>
    <x v="1"/>
    <x v="1"/>
  </r>
  <r>
    <n v="12"/>
    <n v="62"/>
    <n v="26.29"/>
    <n v="0"/>
    <n v="1"/>
    <n v="27808.7251"/>
    <x v="0"/>
    <x v="1"/>
    <x v="1"/>
  </r>
  <r>
    <n v="37"/>
    <n v="62"/>
    <n v="32.965000000000003"/>
    <n v="3"/>
    <n v="0"/>
    <n v="15612.19335"/>
    <x v="3"/>
    <x v="0"/>
    <x v="1"/>
  </r>
  <r>
    <n v="338"/>
    <n v="62"/>
    <n v="27.55"/>
    <n v="1"/>
    <n v="0"/>
    <n v="13937.666499999999"/>
    <x v="3"/>
    <x v="0"/>
    <x v="0"/>
  </r>
  <r>
    <n v="342"/>
    <n v="62"/>
    <n v="30.02"/>
    <n v="0"/>
    <n v="0"/>
    <n v="13352.0998"/>
    <x v="3"/>
    <x v="0"/>
    <x v="0"/>
  </r>
  <r>
    <n v="380"/>
    <n v="62"/>
    <n v="31.46"/>
    <n v="1"/>
    <n v="0"/>
    <n v="27000.98473"/>
    <x v="0"/>
    <x v="0"/>
    <x v="0"/>
  </r>
  <r>
    <n v="463"/>
    <n v="62"/>
    <n v="38.094999999999999"/>
    <n v="2"/>
    <n v="0"/>
    <n v="15230.324049999999"/>
    <x v="1"/>
    <x v="0"/>
    <x v="1"/>
  </r>
  <r>
    <n v="500"/>
    <n v="62"/>
    <n v="39.200000000000003"/>
    <n v="0"/>
    <n v="0"/>
    <n v="13470.86"/>
    <x v="2"/>
    <x v="0"/>
    <x v="1"/>
  </r>
  <r>
    <n v="532"/>
    <n v="62"/>
    <n v="31.73"/>
    <n v="0"/>
    <n v="0"/>
    <n v="14043.476699999999"/>
    <x v="1"/>
    <x v="0"/>
    <x v="1"/>
  </r>
  <r>
    <n v="553"/>
    <n v="62"/>
    <n v="21.4"/>
    <n v="0"/>
    <n v="0"/>
    <n v="12957.118"/>
    <x v="2"/>
    <x v="0"/>
    <x v="0"/>
  </r>
  <r>
    <n v="574"/>
    <n v="62"/>
    <n v="36.86"/>
    <n v="1"/>
    <n v="0"/>
    <n v="31620.001059999999"/>
    <x v="1"/>
    <x v="0"/>
    <x v="1"/>
  </r>
  <r>
    <n v="669"/>
    <n v="62"/>
    <n v="32.015000000000001"/>
    <n v="0"/>
    <n v="1"/>
    <n v="45710.207849999999"/>
    <x v="1"/>
    <x v="1"/>
    <x v="0"/>
  </r>
  <r>
    <n v="723"/>
    <n v="62"/>
    <n v="37.4"/>
    <n v="0"/>
    <n v="0"/>
    <n v="12979.358"/>
    <x v="2"/>
    <x v="0"/>
    <x v="0"/>
  </r>
  <r>
    <n v="790"/>
    <n v="62"/>
    <n v="29.92"/>
    <n v="0"/>
    <n v="0"/>
    <n v="13457.960800000001"/>
    <x v="0"/>
    <x v="0"/>
    <x v="1"/>
  </r>
  <r>
    <n v="895"/>
    <n v="62"/>
    <n v="32.11"/>
    <n v="0"/>
    <n v="0"/>
    <n v="13555.0049"/>
    <x v="1"/>
    <x v="0"/>
    <x v="0"/>
  </r>
  <r>
    <n v="921"/>
    <n v="62"/>
    <n v="25"/>
    <n v="0"/>
    <n v="0"/>
    <n v="13451.121999999999"/>
    <x v="2"/>
    <x v="0"/>
    <x v="1"/>
  </r>
  <r>
    <n v="922"/>
    <n v="62"/>
    <n v="33.200000000000003"/>
    <n v="0"/>
    <n v="0"/>
    <n v="13462.52"/>
    <x v="2"/>
    <x v="0"/>
    <x v="1"/>
  </r>
  <r>
    <n v="929"/>
    <n v="62"/>
    <n v="39.159999999999997"/>
    <n v="0"/>
    <n v="0"/>
    <n v="13470.804400000001"/>
    <x v="0"/>
    <x v="0"/>
    <x v="1"/>
  </r>
  <r>
    <n v="945"/>
    <n v="62"/>
    <n v="39.93"/>
    <n v="0"/>
    <n v="0"/>
    <n v="12982.8747"/>
    <x v="0"/>
    <x v="0"/>
    <x v="0"/>
  </r>
  <r>
    <n v="1085"/>
    <n v="62"/>
    <n v="30.495000000000001"/>
    <n v="2"/>
    <n v="0"/>
    <n v="15019.760050000001"/>
    <x v="3"/>
    <x v="0"/>
    <x v="1"/>
  </r>
  <r>
    <n v="1188"/>
    <n v="62"/>
    <n v="32.68"/>
    <n v="0"/>
    <n v="0"/>
    <n v="13844.797200000001"/>
    <x v="3"/>
    <x v="0"/>
    <x v="1"/>
  </r>
  <r>
    <n v="1302"/>
    <n v="62"/>
    <n v="30.875"/>
    <n v="3"/>
    <n v="1"/>
    <n v="46718.163249999998"/>
    <x v="3"/>
    <x v="1"/>
    <x v="0"/>
  </r>
  <r>
    <n v="1322"/>
    <n v="62"/>
    <n v="26.695"/>
    <n v="0"/>
    <n v="1"/>
    <n v="28101.333050000001"/>
    <x v="1"/>
    <x v="1"/>
    <x v="0"/>
  </r>
  <r>
    <n v="1323"/>
    <n v="62"/>
    <n v="38.83"/>
    <n v="0"/>
    <n v="0"/>
    <n v="12981.3457"/>
    <x v="0"/>
    <x v="0"/>
    <x v="0"/>
  </r>
  <r>
    <n v="27"/>
    <n v="63"/>
    <n v="23.085000000000001"/>
    <n v="0"/>
    <n v="0"/>
    <n v="14451.835150000001"/>
    <x v="1"/>
    <x v="0"/>
    <x v="1"/>
  </r>
  <r>
    <n v="34"/>
    <n v="63"/>
    <n v="28.31"/>
    <n v="0"/>
    <n v="0"/>
    <n v="13770.097900000001"/>
    <x v="3"/>
    <x v="0"/>
    <x v="0"/>
  </r>
  <r>
    <n v="110"/>
    <n v="63"/>
    <n v="35.090000000000003"/>
    <n v="0"/>
    <n v="1"/>
    <n v="47055.532099999997"/>
    <x v="0"/>
    <x v="1"/>
    <x v="0"/>
  </r>
  <r>
    <n v="171"/>
    <n v="63"/>
    <n v="41.47"/>
    <n v="0"/>
    <n v="0"/>
    <n v="13405.390299999999"/>
    <x v="0"/>
    <x v="0"/>
    <x v="0"/>
  </r>
  <r>
    <n v="176"/>
    <n v="63"/>
    <n v="37.700000000000003"/>
    <n v="0"/>
    <n v="1"/>
    <n v="48824.45"/>
    <x v="2"/>
    <x v="1"/>
    <x v="1"/>
  </r>
  <r>
    <n v="209"/>
    <n v="63"/>
    <n v="31.8"/>
    <n v="0"/>
    <n v="0"/>
    <n v="13880.949000000001"/>
    <x v="2"/>
    <x v="0"/>
    <x v="1"/>
  </r>
  <r>
    <n v="245"/>
    <n v="63"/>
    <n v="27.74"/>
    <n v="0"/>
    <n v="1"/>
    <n v="29523.1656"/>
    <x v="1"/>
    <x v="1"/>
    <x v="1"/>
  </r>
  <r>
    <n v="252"/>
    <n v="63"/>
    <n v="32.200000000000003"/>
    <n v="2"/>
    <n v="1"/>
    <n v="47305.305"/>
    <x v="2"/>
    <x v="1"/>
    <x v="1"/>
  </r>
  <r>
    <n v="288"/>
    <n v="63"/>
    <n v="26.22"/>
    <n v="0"/>
    <n v="0"/>
    <n v="14256.192800000001"/>
    <x v="3"/>
    <x v="0"/>
    <x v="1"/>
  </r>
  <r>
    <n v="344"/>
    <n v="63"/>
    <n v="36.765000000000001"/>
    <n v="0"/>
    <n v="0"/>
    <n v="13981.850350000001"/>
    <x v="1"/>
    <x v="0"/>
    <x v="0"/>
  </r>
  <r>
    <n v="420"/>
    <n v="63"/>
    <n v="26.98"/>
    <n v="0"/>
    <n v="1"/>
    <n v="28950.4692"/>
    <x v="3"/>
    <x v="1"/>
    <x v="1"/>
  </r>
  <r>
    <n v="481"/>
    <n v="63"/>
    <n v="41.325000000000003"/>
    <n v="3"/>
    <n v="0"/>
    <n v="15555.188749999999"/>
    <x v="3"/>
    <x v="0"/>
    <x v="0"/>
  </r>
  <r>
    <n v="543"/>
    <n v="63"/>
    <n v="36.299999999999997"/>
    <n v="0"/>
    <n v="0"/>
    <n v="13887.204"/>
    <x v="0"/>
    <x v="0"/>
    <x v="1"/>
  </r>
  <r>
    <n v="551"/>
    <n v="63"/>
    <n v="30.8"/>
    <n v="0"/>
    <n v="0"/>
    <n v="13390.558999999999"/>
    <x v="2"/>
    <x v="0"/>
    <x v="0"/>
  </r>
  <r>
    <n v="831"/>
    <n v="63"/>
    <n v="33.1"/>
    <n v="0"/>
    <n v="0"/>
    <n v="13393.755999999999"/>
    <x v="2"/>
    <x v="0"/>
    <x v="0"/>
  </r>
  <r>
    <n v="909"/>
    <n v="63"/>
    <n v="39.799999999999997"/>
    <n v="3"/>
    <n v="0"/>
    <n v="15170.069"/>
    <x v="2"/>
    <x v="0"/>
    <x v="0"/>
  </r>
  <r>
    <n v="963"/>
    <n v="63"/>
    <n v="35.200000000000003"/>
    <n v="1"/>
    <n v="0"/>
    <n v="14474.674999999999"/>
    <x v="0"/>
    <x v="0"/>
    <x v="1"/>
  </r>
  <r>
    <n v="998"/>
    <n v="63"/>
    <n v="36.85"/>
    <n v="0"/>
    <n v="0"/>
    <n v="13887.968500000001"/>
    <x v="0"/>
    <x v="0"/>
    <x v="1"/>
  </r>
  <r>
    <n v="1069"/>
    <n v="63"/>
    <n v="21.66"/>
    <n v="1"/>
    <n v="0"/>
    <n v="14349.8544"/>
    <x v="3"/>
    <x v="0"/>
    <x v="0"/>
  </r>
  <r>
    <n v="1072"/>
    <n v="63"/>
    <n v="31.445"/>
    <n v="0"/>
    <n v="0"/>
    <n v="13974.455550000001"/>
    <x v="1"/>
    <x v="0"/>
    <x v="0"/>
  </r>
  <r>
    <n v="1080"/>
    <n v="63"/>
    <n v="33.659999999999997"/>
    <n v="3"/>
    <n v="0"/>
    <n v="15161.5344"/>
    <x v="0"/>
    <x v="0"/>
    <x v="0"/>
  </r>
  <r>
    <n v="1126"/>
    <n v="63"/>
    <n v="25.08"/>
    <n v="0"/>
    <n v="0"/>
    <n v="14254.608200000001"/>
    <x v="3"/>
    <x v="0"/>
    <x v="1"/>
  </r>
  <r>
    <n v="1237"/>
    <n v="63"/>
    <n v="21.66"/>
    <n v="0"/>
    <n v="0"/>
    <n v="14449.8544"/>
    <x v="1"/>
    <x v="0"/>
    <x v="1"/>
  </r>
  <r>
    <n v="63"/>
    <n v="64"/>
    <n v="24.7"/>
    <n v="1"/>
    <n v="0"/>
    <n v="30166.618170000002"/>
    <x v="3"/>
    <x v="0"/>
    <x v="0"/>
  </r>
  <r>
    <n v="95"/>
    <n v="64"/>
    <n v="31.3"/>
    <n v="2"/>
    <n v="1"/>
    <n v="47291.055"/>
    <x v="2"/>
    <x v="1"/>
    <x v="1"/>
  </r>
  <r>
    <n v="200"/>
    <n v="64"/>
    <n v="39.33"/>
    <n v="0"/>
    <n v="0"/>
    <n v="14901.5167"/>
    <x v="1"/>
    <x v="0"/>
    <x v="1"/>
  </r>
  <r>
    <n v="329"/>
    <n v="64"/>
    <n v="33.799999999999997"/>
    <n v="1"/>
    <n v="1"/>
    <n v="47928.03"/>
    <x v="2"/>
    <x v="1"/>
    <x v="1"/>
  </r>
  <r>
    <n v="336"/>
    <n v="64"/>
    <n v="34.5"/>
    <n v="0"/>
    <n v="0"/>
    <n v="13822.803"/>
    <x v="2"/>
    <x v="0"/>
    <x v="0"/>
  </r>
  <r>
    <n v="379"/>
    <n v="64"/>
    <n v="30.114999999999998"/>
    <n v="3"/>
    <n v="0"/>
    <n v="16455.707849999999"/>
    <x v="3"/>
    <x v="0"/>
    <x v="1"/>
  </r>
  <r>
    <n v="399"/>
    <n v="64"/>
    <n v="25.6"/>
    <n v="2"/>
    <n v="0"/>
    <n v="14988.432000000001"/>
    <x v="2"/>
    <x v="0"/>
    <x v="0"/>
  </r>
  <r>
    <n v="403"/>
    <n v="64"/>
    <n v="32.965000000000003"/>
    <n v="0"/>
    <n v="0"/>
    <n v="14692.66935"/>
    <x v="3"/>
    <x v="0"/>
    <x v="1"/>
  </r>
  <r>
    <n v="419"/>
    <n v="64"/>
    <n v="39.159999999999997"/>
    <n v="1"/>
    <n v="0"/>
    <n v="14418.2804"/>
    <x v="0"/>
    <x v="0"/>
    <x v="0"/>
  </r>
  <r>
    <n v="421"/>
    <n v="64"/>
    <n v="33.880000000000003"/>
    <n v="0"/>
    <n v="1"/>
    <n v="46889.261200000001"/>
    <x v="0"/>
    <x v="1"/>
    <x v="0"/>
  </r>
  <r>
    <n v="535"/>
    <n v="64"/>
    <n v="40.479999999999997"/>
    <n v="0"/>
    <n v="0"/>
    <n v="13831.1152"/>
    <x v="0"/>
    <x v="0"/>
    <x v="0"/>
  </r>
  <r>
    <n v="604"/>
    <n v="64"/>
    <n v="39.049999999999997"/>
    <n v="3"/>
    <n v="0"/>
    <n v="16085.127500000001"/>
    <x v="0"/>
    <x v="0"/>
    <x v="1"/>
  </r>
  <r>
    <n v="636"/>
    <n v="64"/>
    <n v="38.19"/>
    <n v="0"/>
    <n v="0"/>
    <n v="14410.9321"/>
    <x v="1"/>
    <x v="0"/>
    <x v="0"/>
  </r>
  <r>
    <n v="665"/>
    <n v="64"/>
    <n v="22.99"/>
    <n v="0"/>
    <n v="1"/>
    <n v="27037.914100000002"/>
    <x v="0"/>
    <x v="1"/>
    <x v="1"/>
  </r>
  <r>
    <n v="753"/>
    <n v="64"/>
    <n v="37.905000000000001"/>
    <n v="0"/>
    <n v="0"/>
    <n v="14210.53595"/>
    <x v="3"/>
    <x v="0"/>
    <x v="0"/>
  </r>
  <r>
    <n v="769"/>
    <n v="64"/>
    <n v="39.700000000000003"/>
    <n v="0"/>
    <n v="0"/>
    <n v="14319.031000000001"/>
    <x v="2"/>
    <x v="0"/>
    <x v="1"/>
  </r>
  <r>
    <n v="802"/>
    <n v="64"/>
    <n v="35.97"/>
    <n v="0"/>
    <n v="0"/>
    <n v="14313.846299999999"/>
    <x v="0"/>
    <x v="0"/>
    <x v="1"/>
  </r>
  <r>
    <n v="826"/>
    <n v="64"/>
    <n v="31.824999999999999"/>
    <n v="2"/>
    <n v="0"/>
    <n v="16069.08475"/>
    <x v="1"/>
    <x v="0"/>
    <x v="1"/>
  </r>
  <r>
    <n v="891"/>
    <n v="64"/>
    <n v="26.885000000000002"/>
    <n v="0"/>
    <n v="1"/>
    <n v="29330.98315"/>
    <x v="3"/>
    <x v="1"/>
    <x v="1"/>
  </r>
  <r>
    <n v="1052"/>
    <n v="64"/>
    <n v="26.41"/>
    <n v="0"/>
    <n v="0"/>
    <n v="14394.5579"/>
    <x v="1"/>
    <x v="0"/>
    <x v="0"/>
  </r>
  <r>
    <n v="1242"/>
    <n v="64"/>
    <n v="36.96"/>
    <n v="2"/>
    <n v="1"/>
    <n v="49577.662400000001"/>
    <x v="0"/>
    <x v="1"/>
    <x v="0"/>
  </r>
  <r>
    <n v="1266"/>
    <n v="64"/>
    <n v="23.76"/>
    <n v="0"/>
    <n v="1"/>
    <n v="26926.5144"/>
    <x v="0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2"/>
    <n v="18"/>
    <n v="33.770000000000003"/>
    <n v="1"/>
    <n v="0"/>
    <n v="1725.5523000000001"/>
    <s v="southeast"/>
    <x v="0"/>
    <s v="male"/>
    <n v="4"/>
    <x v="0"/>
  </r>
  <r>
    <n v="23"/>
    <n v="18"/>
    <n v="34.1"/>
    <n v="0"/>
    <n v="0"/>
    <n v="1137.011"/>
    <s v="southeast"/>
    <x v="0"/>
    <s v="male"/>
    <n v="4"/>
    <x v="0"/>
  </r>
  <r>
    <n v="32"/>
    <n v="18"/>
    <n v="26.315000000000001"/>
    <n v="0"/>
    <n v="0"/>
    <n v="2198.1898500000002"/>
    <s v="northeast"/>
    <x v="0"/>
    <s v="female"/>
    <n v="3"/>
    <x v="1"/>
  </r>
  <r>
    <n v="47"/>
    <n v="18"/>
    <n v="38.664999999999999"/>
    <n v="2"/>
    <n v="0"/>
    <n v="3393.35635"/>
    <s v="northeast"/>
    <x v="0"/>
    <s v="female"/>
    <n v="5"/>
    <x v="2"/>
  </r>
  <r>
    <n v="51"/>
    <n v="18"/>
    <n v="35.625"/>
    <n v="0"/>
    <n v="0"/>
    <n v="2211.1307499999998"/>
    <s v="northeast"/>
    <x v="0"/>
    <s v="female"/>
    <n v="5"/>
    <x v="2"/>
  </r>
  <r>
    <n v="58"/>
    <n v="18"/>
    <n v="31.68"/>
    <n v="2"/>
    <n v="1"/>
    <n v="34303.167200000004"/>
    <s v="southeast"/>
    <x v="1"/>
    <s v="male"/>
    <n v="4"/>
    <x v="0"/>
  </r>
  <r>
    <n v="103"/>
    <n v="18"/>
    <n v="30.114999999999998"/>
    <n v="0"/>
    <n v="0"/>
    <n v="21344.846699999998"/>
    <s v="northeast"/>
    <x v="0"/>
    <s v="female"/>
    <n v="4"/>
    <x v="0"/>
  </r>
  <r>
    <n v="122"/>
    <n v="18"/>
    <n v="23.75"/>
    <n v="0"/>
    <n v="0"/>
    <n v="1705.6244999999999"/>
    <s v="northeast"/>
    <x v="0"/>
    <s v="male"/>
    <n v="2"/>
    <x v="3"/>
  </r>
  <r>
    <n v="158"/>
    <n v="18"/>
    <n v="25.175000000000001"/>
    <n v="0"/>
    <n v="1"/>
    <n v="15518.180249999999"/>
    <s v="northeast"/>
    <x v="1"/>
    <s v="male"/>
    <n v="3"/>
    <x v="1"/>
  </r>
  <r>
    <n v="162"/>
    <n v="18"/>
    <n v="36.85"/>
    <n v="0"/>
    <n v="1"/>
    <n v="36149.483500000002"/>
    <s v="southeast"/>
    <x v="1"/>
    <s v="female"/>
    <n v="5"/>
    <x v="2"/>
  </r>
  <r>
    <n v="173"/>
    <n v="18"/>
    <n v="15.96"/>
    <n v="0"/>
    <n v="0"/>
    <n v="1694.7963999999999"/>
    <s v="northeast"/>
    <x v="0"/>
    <s v="male"/>
    <n v="1"/>
    <x v="4"/>
  </r>
  <r>
    <n v="182"/>
    <n v="18"/>
    <n v="38.28"/>
    <n v="0"/>
    <n v="0"/>
    <n v="1631.8212000000001"/>
    <s v="southeast"/>
    <x v="0"/>
    <s v="female"/>
    <n v="5"/>
    <x v="2"/>
  </r>
  <r>
    <n v="195"/>
    <n v="18"/>
    <n v="34.43"/>
    <n v="0"/>
    <n v="0"/>
    <n v="1137.4697000000001"/>
    <s v="southeast"/>
    <x v="0"/>
    <s v="male"/>
    <n v="4"/>
    <x v="0"/>
  </r>
  <r>
    <n v="237"/>
    <n v="18"/>
    <n v="26.73"/>
    <n v="0"/>
    <n v="0"/>
    <n v="1615.7666999999999"/>
    <s v="southeast"/>
    <x v="0"/>
    <s v="female"/>
    <n v="3"/>
    <x v="1"/>
  </r>
  <r>
    <n v="251"/>
    <n v="18"/>
    <n v="17.29"/>
    <n v="2"/>
    <n v="1"/>
    <n v="12829.455099999999"/>
    <s v="northeast"/>
    <x v="1"/>
    <s v="male"/>
    <n v="1"/>
    <x v="4"/>
  </r>
  <r>
    <n v="271"/>
    <n v="18"/>
    <n v="29.37"/>
    <n v="1"/>
    <n v="0"/>
    <n v="1719.4363000000001"/>
    <s v="southeast"/>
    <x v="0"/>
    <s v="male"/>
    <n v="3"/>
    <x v="1"/>
  </r>
  <r>
    <n v="296"/>
    <n v="18"/>
    <n v="22.99"/>
    <n v="0"/>
    <n v="0"/>
    <n v="1704.5681"/>
    <s v="northeast"/>
    <x v="0"/>
    <s v="male"/>
    <n v="2"/>
    <x v="3"/>
  </r>
  <r>
    <n v="355"/>
    <n v="18"/>
    <n v="38.28"/>
    <n v="0"/>
    <n v="0"/>
    <n v="14133.03775"/>
    <s v="southeast"/>
    <x v="0"/>
    <s v="female"/>
    <n v="5"/>
    <x v="2"/>
  </r>
  <r>
    <n v="360"/>
    <n v="18"/>
    <n v="20.79"/>
    <n v="0"/>
    <n v="0"/>
    <n v="1607.5101"/>
    <s v="southeast"/>
    <x v="0"/>
    <s v="female"/>
    <n v="2"/>
    <x v="3"/>
  </r>
  <r>
    <n v="370"/>
    <n v="18"/>
    <n v="30.4"/>
    <n v="3"/>
    <n v="0"/>
    <n v="3481.8679999999999"/>
    <s v="northeast"/>
    <x v="0"/>
    <s v="male"/>
    <n v="4"/>
    <x v="0"/>
  </r>
  <r>
    <n v="400"/>
    <n v="18"/>
    <n v="38.17"/>
    <n v="0"/>
    <n v="0"/>
    <n v="1631.6683"/>
    <s v="southeast"/>
    <x v="0"/>
    <s v="female"/>
    <n v="5"/>
    <x v="2"/>
  </r>
  <r>
    <n v="428"/>
    <n v="18"/>
    <n v="29.164999999999999"/>
    <n v="0"/>
    <n v="0"/>
    <n v="7323.7348190000002"/>
    <s v="northeast"/>
    <x v="0"/>
    <s v="female"/>
    <n v="3"/>
    <x v="1"/>
  </r>
  <r>
    <n v="443"/>
    <n v="18"/>
    <n v="43.01"/>
    <n v="0"/>
    <n v="0"/>
    <n v="1149.3959"/>
    <s v="southeast"/>
    <x v="0"/>
    <s v="male"/>
    <n v="6"/>
    <x v="5"/>
  </r>
  <r>
    <n v="470"/>
    <n v="18"/>
    <n v="24.09"/>
    <n v="1"/>
    <n v="0"/>
    <n v="2201.0971"/>
    <s v="southeast"/>
    <x v="0"/>
    <s v="female"/>
    <n v="2"/>
    <x v="3"/>
  </r>
  <r>
    <n v="472"/>
    <n v="18"/>
    <n v="30.114999999999998"/>
    <n v="0"/>
    <n v="0"/>
    <n v="2203.4718499999999"/>
    <s v="northeast"/>
    <x v="0"/>
    <s v="female"/>
    <n v="4"/>
    <x v="0"/>
  </r>
  <r>
    <n v="483"/>
    <n v="18"/>
    <n v="31.35"/>
    <n v="0"/>
    <n v="0"/>
    <n v="1622.1885"/>
    <s v="southeast"/>
    <x v="0"/>
    <s v="female"/>
    <n v="4"/>
    <x v="0"/>
  </r>
  <r>
    <n v="493"/>
    <n v="18"/>
    <n v="25.08"/>
    <n v="0"/>
    <n v="0"/>
    <n v="2196.4731999999999"/>
    <s v="northeast"/>
    <x v="0"/>
    <s v="female"/>
    <n v="3"/>
    <x v="1"/>
  </r>
  <r>
    <n v="526"/>
    <n v="18"/>
    <n v="33.880000000000003"/>
    <n v="0"/>
    <n v="0"/>
    <n v="11482.63485"/>
    <s v="southeast"/>
    <x v="0"/>
    <s v="female"/>
    <n v="4"/>
    <x v="0"/>
  </r>
  <r>
    <n v="530"/>
    <n v="18"/>
    <n v="25.46"/>
    <n v="0"/>
    <n v="0"/>
    <n v="1708.0014000000001"/>
    <s v="northeast"/>
    <x v="0"/>
    <s v="male"/>
    <n v="3"/>
    <x v="1"/>
  </r>
  <r>
    <n v="565"/>
    <n v="18"/>
    <n v="32.119999999999997"/>
    <n v="2"/>
    <n v="0"/>
    <n v="2801.2588000000001"/>
    <s v="southeast"/>
    <x v="0"/>
    <s v="female"/>
    <n v="4"/>
    <x v="0"/>
  </r>
  <r>
    <n v="572"/>
    <n v="18"/>
    <n v="37.29"/>
    <n v="1"/>
    <n v="0"/>
    <n v="2219.4450999999999"/>
    <s v="southeast"/>
    <x v="0"/>
    <s v="female"/>
    <n v="5"/>
    <x v="2"/>
  </r>
  <r>
    <n v="601"/>
    <n v="18"/>
    <n v="39.159999999999997"/>
    <n v="0"/>
    <n v="0"/>
    <n v="1633.0444"/>
    <s v="southeast"/>
    <x v="0"/>
    <s v="female"/>
    <n v="5"/>
    <x v="2"/>
  </r>
  <r>
    <n v="613"/>
    <n v="18"/>
    <n v="33.155000000000001"/>
    <n v="0"/>
    <n v="0"/>
    <n v="2207.6974500000001"/>
    <s v="northeast"/>
    <x v="0"/>
    <s v="female"/>
    <n v="4"/>
    <x v="0"/>
  </r>
  <r>
    <n v="624"/>
    <n v="18"/>
    <n v="33.534999999999997"/>
    <n v="0"/>
    <n v="1"/>
    <n v="34617.840649999998"/>
    <s v="northeast"/>
    <x v="1"/>
    <s v="male"/>
    <n v="4"/>
    <x v="0"/>
  </r>
  <r>
    <n v="649"/>
    <n v="18"/>
    <n v="28.5"/>
    <n v="0"/>
    <n v="0"/>
    <n v="1712.2270000000001"/>
    <s v="northeast"/>
    <x v="0"/>
    <s v="male"/>
    <n v="3"/>
    <x v="1"/>
  </r>
  <r>
    <n v="664"/>
    <n v="18"/>
    <n v="33.659999999999997"/>
    <n v="0"/>
    <n v="0"/>
    <n v="1136.3994"/>
    <s v="southeast"/>
    <x v="0"/>
    <s v="male"/>
    <n v="4"/>
    <x v="0"/>
  </r>
  <r>
    <n v="711"/>
    <n v="18"/>
    <n v="35.200000000000003"/>
    <n v="1"/>
    <n v="0"/>
    <n v="1727.54"/>
    <s v="southeast"/>
    <x v="0"/>
    <s v="male"/>
    <n v="5"/>
    <x v="2"/>
  </r>
  <r>
    <n v="729"/>
    <n v="18"/>
    <n v="40.28"/>
    <n v="0"/>
    <n v="0"/>
    <n v="2217.6012000000001"/>
    <s v="northeast"/>
    <x v="0"/>
    <s v="female"/>
    <n v="6"/>
    <x v="5"/>
  </r>
  <r>
    <n v="760"/>
    <n v="18"/>
    <n v="38.17"/>
    <n v="0"/>
    <n v="1"/>
    <n v="36307.798300000002"/>
    <s v="southeast"/>
    <x v="1"/>
    <s v="male"/>
    <n v="5"/>
    <x v="2"/>
  </r>
  <r>
    <n v="782"/>
    <n v="18"/>
    <n v="41.14"/>
    <n v="0"/>
    <n v="0"/>
    <n v="1146.7965999999999"/>
    <s v="southeast"/>
    <x v="0"/>
    <s v="male"/>
    <n v="6"/>
    <x v="5"/>
  </r>
  <r>
    <n v="804"/>
    <n v="18"/>
    <n v="42.24"/>
    <n v="0"/>
    <n v="1"/>
    <n v="38792.685599999997"/>
    <s v="southeast"/>
    <x v="1"/>
    <s v="female"/>
    <n v="6"/>
    <x v="5"/>
  </r>
  <r>
    <n v="809"/>
    <n v="18"/>
    <n v="30.14"/>
    <n v="0"/>
    <n v="0"/>
    <n v="1131.5065999999999"/>
    <s v="southeast"/>
    <x v="0"/>
    <s v="male"/>
    <n v="4"/>
    <x v="0"/>
  </r>
  <r>
    <n v="823"/>
    <n v="18"/>
    <n v="31.13"/>
    <n v="0"/>
    <n v="0"/>
    <n v="1621.8827000000001"/>
    <s v="southeast"/>
    <x v="0"/>
    <s v="female"/>
    <n v="4"/>
    <x v="0"/>
  </r>
  <r>
    <n v="867"/>
    <n v="18"/>
    <n v="37.29"/>
    <n v="0"/>
    <n v="0"/>
    <n v="1141.4450999999999"/>
    <s v="southeast"/>
    <x v="0"/>
    <s v="male"/>
    <n v="5"/>
    <x v="2"/>
  </r>
  <r>
    <n v="899"/>
    <n v="18"/>
    <n v="40.26"/>
    <n v="0"/>
    <n v="0"/>
    <n v="1634.5734"/>
    <s v="southeast"/>
    <x v="0"/>
    <s v="female"/>
    <n v="6"/>
    <x v="5"/>
  </r>
  <r>
    <n v="912"/>
    <n v="18"/>
    <n v="31.73"/>
    <n v="0"/>
    <n v="1"/>
    <n v="33732.686699999998"/>
    <s v="northeast"/>
    <x v="1"/>
    <s v="male"/>
    <n v="4"/>
    <x v="0"/>
  </r>
  <r>
    <n v="939"/>
    <n v="18"/>
    <n v="26.18"/>
    <n v="2"/>
    <n v="0"/>
    <n v="2304.0021999999999"/>
    <s v="southeast"/>
    <x v="0"/>
    <s v="male"/>
    <n v="3"/>
    <x v="1"/>
  </r>
  <r>
    <n v="941"/>
    <n v="18"/>
    <n v="23.21"/>
    <n v="0"/>
    <n v="0"/>
    <n v="1121.8739"/>
    <s v="southeast"/>
    <x v="0"/>
    <s v="male"/>
    <n v="2"/>
    <x v="3"/>
  </r>
  <r>
    <n v="943"/>
    <n v="18"/>
    <n v="40.185000000000002"/>
    <n v="0"/>
    <n v="0"/>
    <n v="2217.4691499999999"/>
    <s v="northeast"/>
    <x v="0"/>
    <s v="female"/>
    <n v="6"/>
    <x v="5"/>
  </r>
  <r>
    <n v="1024"/>
    <n v="18"/>
    <n v="23.32"/>
    <n v="1"/>
    <n v="0"/>
    <n v="1711.0268000000001"/>
    <s v="southeast"/>
    <x v="0"/>
    <s v="male"/>
    <n v="2"/>
    <x v="3"/>
  </r>
  <r>
    <n v="1034"/>
    <n v="18"/>
    <n v="21.565000000000001"/>
    <n v="0"/>
    <n v="1"/>
    <n v="13747.87235"/>
    <s v="northeast"/>
    <x v="1"/>
    <s v="male"/>
    <n v="2"/>
    <x v="3"/>
  </r>
  <r>
    <n v="1042"/>
    <n v="18"/>
    <n v="23.085000000000001"/>
    <n v="0"/>
    <n v="0"/>
    <n v="1704.7001499999999"/>
    <s v="northeast"/>
    <x v="0"/>
    <s v="male"/>
    <n v="2"/>
    <x v="3"/>
  </r>
  <r>
    <n v="1081"/>
    <n v="18"/>
    <n v="21.78"/>
    <n v="2"/>
    <n v="0"/>
    <n v="11884.048580000001"/>
    <s v="southeast"/>
    <x v="0"/>
    <s v="male"/>
    <n v="2"/>
    <x v="3"/>
  </r>
  <r>
    <n v="1096"/>
    <n v="18"/>
    <n v="31.35"/>
    <n v="4"/>
    <n v="0"/>
    <n v="4561.1885000000002"/>
    <s v="northeast"/>
    <x v="0"/>
    <s v="female"/>
    <n v="4"/>
    <x v="0"/>
  </r>
  <r>
    <n v="1151"/>
    <n v="18"/>
    <n v="30.305"/>
    <n v="0"/>
    <n v="0"/>
    <n v="2203.7359499999998"/>
    <s v="northeast"/>
    <x v="0"/>
    <s v="female"/>
    <n v="4"/>
    <x v="0"/>
  </r>
  <r>
    <n v="1164"/>
    <n v="18"/>
    <n v="28.215"/>
    <n v="0"/>
    <n v="0"/>
    <n v="2200.8308499999998"/>
    <s v="northeast"/>
    <x v="0"/>
    <s v="female"/>
    <n v="3"/>
    <x v="1"/>
  </r>
  <r>
    <n v="1171"/>
    <n v="18"/>
    <n v="27.36"/>
    <n v="1"/>
    <n v="1"/>
    <n v="17178.682400000002"/>
    <s v="northeast"/>
    <x v="1"/>
    <s v="male"/>
    <n v="3"/>
    <x v="1"/>
  </r>
  <r>
    <n v="1205"/>
    <n v="18"/>
    <n v="27.28"/>
    <n v="3"/>
    <n v="1"/>
    <n v="18223.4512"/>
    <s v="southeast"/>
    <x v="1"/>
    <s v="female"/>
    <n v="3"/>
    <x v="1"/>
  </r>
  <r>
    <n v="1213"/>
    <n v="18"/>
    <n v="21.47"/>
    <n v="0"/>
    <n v="0"/>
    <n v="1702.4553000000001"/>
    <s v="northeast"/>
    <x v="0"/>
    <s v="male"/>
    <n v="2"/>
    <x v="3"/>
  </r>
  <r>
    <n v="1216"/>
    <n v="18"/>
    <n v="39.14"/>
    <n v="0"/>
    <n v="0"/>
    <n v="12890.057650000001"/>
    <s v="northeast"/>
    <x v="0"/>
    <s v="male"/>
    <n v="5"/>
    <x v="2"/>
  </r>
  <r>
    <n v="1245"/>
    <n v="18"/>
    <n v="33.33"/>
    <n v="0"/>
    <n v="0"/>
    <n v="1135.9407000000001"/>
    <s v="southeast"/>
    <x v="0"/>
    <s v="male"/>
    <n v="4"/>
    <x v="0"/>
  </r>
  <r>
    <n v="1249"/>
    <n v="18"/>
    <n v="39.82"/>
    <n v="0"/>
    <n v="0"/>
    <n v="1633.9618"/>
    <s v="southeast"/>
    <x v="0"/>
    <s v="female"/>
    <n v="5"/>
    <x v="2"/>
  </r>
  <r>
    <n v="1283"/>
    <n v="18"/>
    <n v="21.66"/>
    <n v="0"/>
    <n v="1"/>
    <n v="14283.4594"/>
    <s v="northeast"/>
    <x v="1"/>
    <s v="female"/>
    <n v="2"/>
    <x v="3"/>
  </r>
  <r>
    <n v="1284"/>
    <n v="18"/>
    <n v="30.03"/>
    <n v="1"/>
    <n v="0"/>
    <n v="1720.3536999999999"/>
    <s v="southeast"/>
    <x v="0"/>
    <s v="male"/>
    <n v="4"/>
    <x v="0"/>
  </r>
  <r>
    <n v="1297"/>
    <n v="18"/>
    <n v="26.125"/>
    <n v="0"/>
    <n v="0"/>
    <n v="1708.9257500000001"/>
    <s v="northeast"/>
    <x v="0"/>
    <s v="male"/>
    <n v="3"/>
    <x v="1"/>
  </r>
  <r>
    <n v="1316"/>
    <n v="18"/>
    <n v="28.31"/>
    <n v="1"/>
    <n v="0"/>
    <n v="11272.331389999999"/>
    <s v="northeast"/>
    <x v="0"/>
    <s v="male"/>
    <n v="3"/>
    <x v="1"/>
  </r>
  <r>
    <n v="1318"/>
    <n v="18"/>
    <n v="53.13"/>
    <n v="0"/>
    <n v="0"/>
    <n v="1163.4627"/>
    <s v="southeast"/>
    <x v="0"/>
    <s v="male"/>
    <n v="6"/>
    <x v="5"/>
  </r>
  <r>
    <n v="1335"/>
    <n v="18"/>
    <n v="31.92"/>
    <n v="0"/>
    <n v="0"/>
    <n v="2205.9807999999998"/>
    <s v="northeast"/>
    <x v="0"/>
    <s v="female"/>
    <n v="4"/>
    <x v="0"/>
  </r>
  <r>
    <n v="1336"/>
    <n v="18"/>
    <n v="36.85"/>
    <n v="0"/>
    <n v="0"/>
    <n v="1629.8335"/>
    <s v="southeast"/>
    <x v="0"/>
    <s v="female"/>
    <n v="5"/>
    <x v="2"/>
  </r>
  <r>
    <n v="1"/>
    <n v="19"/>
    <n v="27.9"/>
    <n v="0"/>
    <n v="1"/>
    <n v="16884.923999999999"/>
    <s v="southwest"/>
    <x v="1"/>
    <s v="female"/>
    <n v="3"/>
    <x v="1"/>
  </r>
  <r>
    <n v="16"/>
    <n v="19"/>
    <n v="24.6"/>
    <n v="1"/>
    <n v="0"/>
    <n v="1837.2370000000001"/>
    <s v="southwest"/>
    <x v="0"/>
    <s v="male"/>
    <n v="2"/>
    <x v="3"/>
  </r>
  <r>
    <n v="33"/>
    <n v="19"/>
    <n v="28.6"/>
    <n v="5"/>
    <n v="0"/>
    <n v="4687.7969999999996"/>
    <s v="southwest"/>
    <x v="0"/>
    <s v="female"/>
    <n v="3"/>
    <x v="1"/>
  </r>
  <r>
    <n v="36"/>
    <n v="19"/>
    <n v="20.425000000000001"/>
    <n v="0"/>
    <n v="0"/>
    <n v="1625.4337499999999"/>
    <s v="northwest"/>
    <x v="0"/>
    <s v="male"/>
    <n v="2"/>
    <x v="3"/>
  </r>
  <r>
    <n v="66"/>
    <n v="19"/>
    <n v="28.9"/>
    <n v="0"/>
    <n v="0"/>
    <n v="1743.2139999999999"/>
    <s v="southwest"/>
    <x v="0"/>
    <s v="female"/>
    <n v="3"/>
    <x v="1"/>
  </r>
  <r>
    <n v="107"/>
    <n v="19"/>
    <n v="28.4"/>
    <n v="1"/>
    <n v="0"/>
    <n v="2331.5189999999998"/>
    <s v="southwest"/>
    <x v="0"/>
    <s v="female"/>
    <n v="3"/>
    <x v="1"/>
  </r>
  <r>
    <n v="127"/>
    <n v="19"/>
    <n v="28.3"/>
    <n v="0"/>
    <n v="1"/>
    <n v="17081.080000000002"/>
    <s v="southwest"/>
    <x v="1"/>
    <s v="female"/>
    <n v="3"/>
    <x v="1"/>
  </r>
  <r>
    <n v="134"/>
    <n v="19"/>
    <n v="25.555"/>
    <n v="0"/>
    <n v="0"/>
    <n v="1632.5644500000001"/>
    <s v="northwest"/>
    <x v="0"/>
    <s v="male"/>
    <n v="3"/>
    <x v="1"/>
  </r>
  <r>
    <n v="137"/>
    <n v="19"/>
    <n v="34.1"/>
    <n v="0"/>
    <n v="0"/>
    <n v="1261.442"/>
    <s v="southwest"/>
    <x v="0"/>
    <s v="male"/>
    <n v="4"/>
    <x v="0"/>
  </r>
  <r>
    <n v="150"/>
    <n v="19"/>
    <n v="28.4"/>
    <n v="1"/>
    <n v="0"/>
    <n v="1842.519"/>
    <s v="southwest"/>
    <x v="0"/>
    <s v="male"/>
    <n v="3"/>
    <x v="1"/>
  </r>
  <r>
    <n v="169"/>
    <n v="19"/>
    <n v="31.824999999999999"/>
    <n v="1"/>
    <n v="0"/>
    <n v="2719.2797500000001"/>
    <s v="northwest"/>
    <x v="0"/>
    <s v="female"/>
    <n v="4"/>
    <x v="0"/>
  </r>
  <r>
    <n v="196"/>
    <n v="19"/>
    <n v="30.59"/>
    <n v="0"/>
    <n v="0"/>
    <n v="1639.5631000000001"/>
    <s v="northwest"/>
    <x v="0"/>
    <s v="male"/>
    <n v="4"/>
    <x v="0"/>
  </r>
  <r>
    <n v="201"/>
    <n v="19"/>
    <n v="32.11"/>
    <n v="0"/>
    <n v="0"/>
    <n v="2130.6759000000002"/>
    <s v="northwest"/>
    <x v="0"/>
    <s v="female"/>
    <n v="4"/>
    <x v="0"/>
  </r>
  <r>
    <n v="224"/>
    <n v="19"/>
    <n v="34.799999999999997"/>
    <n v="0"/>
    <n v="1"/>
    <n v="34779.614999999998"/>
    <s v="southwest"/>
    <x v="1"/>
    <s v="male"/>
    <n v="4"/>
    <x v="0"/>
  </r>
  <r>
    <n v="233"/>
    <n v="19"/>
    <n v="17.8"/>
    <n v="0"/>
    <n v="0"/>
    <n v="1727.7850000000001"/>
    <s v="southwest"/>
    <x v="0"/>
    <s v="female"/>
    <n v="1"/>
    <x v="4"/>
  </r>
  <r>
    <n v="239"/>
    <n v="19"/>
    <n v="29.07"/>
    <n v="0"/>
    <n v="1"/>
    <n v="17352.6803"/>
    <s v="northwest"/>
    <x v="1"/>
    <s v="male"/>
    <n v="3"/>
    <x v="1"/>
  </r>
  <r>
    <n v="249"/>
    <n v="19"/>
    <n v="20.9"/>
    <n v="1"/>
    <n v="0"/>
    <n v="1832.0940000000001"/>
    <s v="southwest"/>
    <x v="0"/>
    <s v="male"/>
    <n v="2"/>
    <x v="3"/>
  </r>
  <r>
    <n v="260"/>
    <n v="19"/>
    <n v="31.92"/>
    <n v="0"/>
    <n v="1"/>
    <n v="33750.291799999999"/>
    <s v="northwest"/>
    <x v="1"/>
    <s v="male"/>
    <n v="4"/>
    <x v="0"/>
  </r>
  <r>
    <n v="264"/>
    <n v="19"/>
    <n v="36.954999999999998"/>
    <n v="0"/>
    <n v="1"/>
    <n v="36219.405449999998"/>
    <s v="northwest"/>
    <x v="1"/>
    <s v="male"/>
    <n v="5"/>
    <x v="2"/>
  </r>
  <r>
    <n v="277"/>
    <n v="19"/>
    <n v="20.614999999999998"/>
    <n v="2"/>
    <n v="0"/>
    <n v="2803.69785"/>
    <s v="northwest"/>
    <x v="0"/>
    <s v="male"/>
    <n v="2"/>
    <x v="3"/>
  </r>
  <r>
    <n v="297"/>
    <n v="19"/>
    <n v="27.7"/>
    <n v="0"/>
    <n v="1"/>
    <n v="16297.846"/>
    <s v="southwest"/>
    <x v="1"/>
    <s v="male"/>
    <n v="3"/>
    <x v="1"/>
  </r>
  <r>
    <n v="312"/>
    <n v="19"/>
    <n v="24.7"/>
    <n v="0"/>
    <n v="0"/>
    <n v="1737.376"/>
    <s v="southwest"/>
    <x v="0"/>
    <s v="female"/>
    <n v="2"/>
    <x v="3"/>
  </r>
  <r>
    <n v="350"/>
    <n v="19"/>
    <n v="27.835000000000001"/>
    <n v="0"/>
    <n v="0"/>
    <n v="1635.7336499999999"/>
    <s v="northwest"/>
    <x v="0"/>
    <s v="male"/>
    <n v="3"/>
    <x v="1"/>
  </r>
  <r>
    <n v="363"/>
    <n v="19"/>
    <n v="21.7"/>
    <n v="0"/>
    <n v="1"/>
    <n v="13844.505999999999"/>
    <s v="southwest"/>
    <x v="1"/>
    <s v="female"/>
    <n v="2"/>
    <x v="3"/>
  </r>
  <r>
    <n v="386"/>
    <n v="19"/>
    <n v="34.4"/>
    <n v="0"/>
    <n v="0"/>
    <n v="1261.8589999999999"/>
    <s v="southwest"/>
    <x v="0"/>
    <s v="male"/>
    <n v="4"/>
    <x v="0"/>
  </r>
  <r>
    <n v="392"/>
    <n v="19"/>
    <n v="37.43"/>
    <n v="0"/>
    <n v="0"/>
    <n v="2138.0707000000002"/>
    <s v="northwest"/>
    <x v="0"/>
    <s v="female"/>
    <n v="5"/>
    <x v="2"/>
  </r>
  <r>
    <n v="411"/>
    <n v="19"/>
    <n v="17.48"/>
    <n v="0"/>
    <n v="0"/>
    <n v="1621.3402000000001"/>
    <s v="northwest"/>
    <x v="0"/>
    <s v="male"/>
    <n v="1"/>
    <x v="4"/>
  </r>
  <r>
    <n v="415"/>
    <n v="19"/>
    <n v="35.15"/>
    <n v="0"/>
    <n v="0"/>
    <n v="2134.9014999999999"/>
    <s v="northwest"/>
    <x v="0"/>
    <s v="female"/>
    <n v="5"/>
    <x v="2"/>
  </r>
  <r>
    <n v="431"/>
    <n v="19"/>
    <n v="33.1"/>
    <n v="0"/>
    <n v="0"/>
    <n v="23082.955330000001"/>
    <s v="southwest"/>
    <x v="0"/>
    <s v="male"/>
    <n v="4"/>
    <x v="0"/>
  </r>
  <r>
    <n v="465"/>
    <n v="19"/>
    <n v="25.175000000000001"/>
    <n v="0"/>
    <n v="0"/>
    <n v="1632.0362500000001"/>
    <s v="northwest"/>
    <x v="0"/>
    <s v="male"/>
    <n v="3"/>
    <x v="1"/>
  </r>
  <r>
    <n v="473"/>
    <n v="19"/>
    <n v="29.8"/>
    <n v="0"/>
    <n v="0"/>
    <n v="1744.4649999999999"/>
    <s v="southwest"/>
    <x v="0"/>
    <s v="female"/>
    <n v="3"/>
    <x v="1"/>
  </r>
  <r>
    <n v="488"/>
    <n v="19"/>
    <n v="28.7"/>
    <n v="0"/>
    <n v="0"/>
    <n v="1253.9359999999999"/>
    <s v="southwest"/>
    <x v="0"/>
    <s v="male"/>
    <n v="3"/>
    <x v="1"/>
  </r>
  <r>
    <n v="491"/>
    <n v="19"/>
    <n v="32.9"/>
    <n v="0"/>
    <n v="0"/>
    <n v="1748.7739999999999"/>
    <s v="southwest"/>
    <x v="0"/>
    <s v="female"/>
    <n v="4"/>
    <x v="0"/>
  </r>
  <r>
    <n v="504"/>
    <n v="19"/>
    <n v="30.25"/>
    <n v="0"/>
    <n v="1"/>
    <n v="32548.340499999998"/>
    <s v="southeast"/>
    <x v="1"/>
    <s v="male"/>
    <n v="4"/>
    <x v="0"/>
  </r>
  <r>
    <n v="514"/>
    <n v="19"/>
    <n v="30.4"/>
    <n v="0"/>
    <n v="0"/>
    <n v="1256.299"/>
    <s v="southwest"/>
    <x v="0"/>
    <s v="male"/>
    <n v="4"/>
    <x v="0"/>
  </r>
  <r>
    <n v="527"/>
    <n v="19"/>
    <n v="30.59"/>
    <n v="2"/>
    <n v="0"/>
    <n v="24059.680189999999"/>
    <s v="northwest"/>
    <x v="0"/>
    <s v="female"/>
    <n v="4"/>
    <x v="0"/>
  </r>
  <r>
    <n v="560"/>
    <n v="19"/>
    <n v="35.53"/>
    <n v="0"/>
    <n v="0"/>
    <n v="1646.4296999999999"/>
    <s v="northwest"/>
    <x v="0"/>
    <s v="male"/>
    <n v="5"/>
    <x v="2"/>
  </r>
  <r>
    <n v="566"/>
    <n v="19"/>
    <n v="30.495000000000001"/>
    <n v="0"/>
    <n v="0"/>
    <n v="2128.4310500000001"/>
    <s v="northwest"/>
    <x v="0"/>
    <s v="female"/>
    <n v="4"/>
    <x v="0"/>
  </r>
  <r>
    <n v="582"/>
    <n v="19"/>
    <n v="30.59"/>
    <n v="0"/>
    <n v="0"/>
    <n v="1639.5631000000001"/>
    <s v="northwest"/>
    <x v="0"/>
    <s v="male"/>
    <n v="4"/>
    <x v="0"/>
  </r>
  <r>
    <n v="585"/>
    <n v="19"/>
    <n v="20.7"/>
    <n v="0"/>
    <n v="0"/>
    <n v="1242.816"/>
    <s v="southwest"/>
    <x v="0"/>
    <s v="male"/>
    <n v="2"/>
    <x v="3"/>
  </r>
  <r>
    <n v="605"/>
    <n v="19"/>
    <n v="28.31"/>
    <n v="0"/>
    <n v="1"/>
    <n v="17468.983899999999"/>
    <s v="northwest"/>
    <x v="1"/>
    <s v="female"/>
    <n v="3"/>
    <x v="1"/>
  </r>
  <r>
    <n v="619"/>
    <n v="19"/>
    <n v="33.11"/>
    <n v="0"/>
    <n v="1"/>
    <n v="34439.855900000002"/>
    <s v="southeast"/>
    <x v="1"/>
    <s v="female"/>
    <n v="4"/>
    <x v="0"/>
  </r>
  <r>
    <n v="637"/>
    <n v="19"/>
    <n v="24.51"/>
    <n v="1"/>
    <n v="0"/>
    <n v="2709.1118999999999"/>
    <s v="northwest"/>
    <x v="0"/>
    <s v="female"/>
    <n v="2"/>
    <x v="3"/>
  </r>
  <r>
    <n v="682"/>
    <n v="19"/>
    <n v="20.3"/>
    <n v="0"/>
    <n v="0"/>
    <n v="1242.26"/>
    <s v="southwest"/>
    <x v="0"/>
    <s v="male"/>
    <n v="2"/>
    <x v="3"/>
  </r>
  <r>
    <n v="724"/>
    <n v="19"/>
    <n v="35.4"/>
    <n v="0"/>
    <n v="0"/>
    <n v="1263.249"/>
    <s v="southwest"/>
    <x v="0"/>
    <s v="male"/>
    <n v="5"/>
    <x v="2"/>
  </r>
  <r>
    <n v="748"/>
    <n v="19"/>
    <n v="21.754999999999999"/>
    <n v="0"/>
    <n v="0"/>
    <n v="1627.2824499999999"/>
    <s v="northwest"/>
    <x v="0"/>
    <s v="male"/>
    <n v="2"/>
    <x v="3"/>
  </r>
  <r>
    <n v="774"/>
    <n v="19"/>
    <n v="28.88"/>
    <n v="0"/>
    <n v="1"/>
    <n v="17748.5062"/>
    <s v="northwest"/>
    <x v="1"/>
    <s v="female"/>
    <n v="3"/>
    <x v="1"/>
  </r>
  <r>
    <n v="792"/>
    <n v="19"/>
    <n v="27.6"/>
    <n v="0"/>
    <n v="0"/>
    <n v="1252.4069999999999"/>
    <s v="southwest"/>
    <x v="0"/>
    <s v="male"/>
    <n v="3"/>
    <x v="1"/>
  </r>
  <r>
    <n v="808"/>
    <n v="19"/>
    <n v="36.575000000000003"/>
    <n v="0"/>
    <n v="0"/>
    <n v="2136.8822500000001"/>
    <s v="northwest"/>
    <x v="0"/>
    <s v="female"/>
    <n v="5"/>
    <x v="2"/>
  </r>
  <r>
    <n v="898"/>
    <n v="19"/>
    <n v="25.555"/>
    <n v="1"/>
    <n v="0"/>
    <n v="2221.5644499999999"/>
    <s v="northwest"/>
    <x v="0"/>
    <s v="male"/>
    <n v="3"/>
    <x v="1"/>
  </r>
  <r>
    <n v="900"/>
    <n v="19"/>
    <n v="22.515000000000001"/>
    <n v="0"/>
    <n v="0"/>
    <n v="2117.3388500000001"/>
    <s v="northwest"/>
    <x v="0"/>
    <s v="female"/>
    <n v="2"/>
    <x v="3"/>
  </r>
  <r>
    <n v="927"/>
    <n v="19"/>
    <n v="23.4"/>
    <n v="2"/>
    <n v="0"/>
    <n v="2913.569"/>
    <s v="southwest"/>
    <x v="0"/>
    <s v="female"/>
    <n v="2"/>
    <x v="3"/>
  </r>
  <r>
    <n v="944"/>
    <n v="19"/>
    <n v="22.61"/>
    <n v="0"/>
    <n v="0"/>
    <n v="1628.4709"/>
    <s v="northwest"/>
    <x v="0"/>
    <s v="male"/>
    <n v="2"/>
    <x v="3"/>
  </r>
  <r>
    <n v="961"/>
    <n v="19"/>
    <n v="39.615000000000002"/>
    <n v="1"/>
    <n v="0"/>
    <n v="2730.1078499999999"/>
    <s v="northwest"/>
    <x v="0"/>
    <s v="female"/>
    <n v="5"/>
    <x v="2"/>
  </r>
  <r>
    <n v="974"/>
    <n v="19"/>
    <n v="40.5"/>
    <n v="0"/>
    <n v="0"/>
    <n v="1759.338"/>
    <s v="southwest"/>
    <x v="0"/>
    <s v="female"/>
    <n v="6"/>
    <x v="5"/>
  </r>
  <r>
    <n v="1017"/>
    <n v="19"/>
    <n v="24.605"/>
    <n v="1"/>
    <n v="0"/>
    <n v="2709.24395"/>
    <s v="northwest"/>
    <x v="0"/>
    <s v="female"/>
    <n v="2"/>
    <x v="3"/>
  </r>
  <r>
    <n v="1027"/>
    <n v="19"/>
    <n v="26.03"/>
    <n v="1"/>
    <n v="1"/>
    <n v="16450.894700000001"/>
    <s v="northwest"/>
    <x v="1"/>
    <s v="male"/>
    <n v="3"/>
    <x v="1"/>
  </r>
  <r>
    <n v="1040"/>
    <n v="19"/>
    <n v="27.265000000000001"/>
    <n v="2"/>
    <n v="0"/>
    <n v="22493.659640000002"/>
    <s v="northwest"/>
    <x v="0"/>
    <s v="male"/>
    <n v="3"/>
    <x v="1"/>
  </r>
  <r>
    <n v="1130"/>
    <n v="19"/>
    <n v="18.600000000000001"/>
    <n v="0"/>
    <n v="0"/>
    <n v="1728.8969999999999"/>
    <s v="southwest"/>
    <x v="0"/>
    <s v="female"/>
    <n v="2"/>
    <x v="3"/>
  </r>
  <r>
    <n v="1140"/>
    <n v="19"/>
    <n v="32.49"/>
    <n v="0"/>
    <n v="1"/>
    <n v="36898.733079999998"/>
    <s v="northwest"/>
    <x v="1"/>
    <s v="female"/>
    <n v="4"/>
    <x v="0"/>
  </r>
  <r>
    <n v="1157"/>
    <n v="19"/>
    <n v="44.88"/>
    <n v="0"/>
    <n v="1"/>
    <n v="39722.746200000001"/>
    <s v="southeast"/>
    <x v="1"/>
    <s v="male"/>
    <n v="6"/>
    <x v="5"/>
  </r>
  <r>
    <n v="1196"/>
    <n v="19"/>
    <n v="27.93"/>
    <n v="3"/>
    <n v="0"/>
    <n v="18838.703659999999"/>
    <s v="northwest"/>
    <x v="0"/>
    <s v="female"/>
    <n v="3"/>
    <x v="1"/>
  </r>
  <r>
    <n v="1197"/>
    <n v="19"/>
    <n v="30.02"/>
    <n v="0"/>
    <n v="1"/>
    <n v="33307.550799999997"/>
    <s v="northwest"/>
    <x v="1"/>
    <s v="female"/>
    <n v="4"/>
    <x v="0"/>
  </r>
  <r>
    <n v="1252"/>
    <n v="19"/>
    <n v="19.8"/>
    <n v="0"/>
    <n v="0"/>
    <n v="1241.5650000000001"/>
    <s v="southwest"/>
    <x v="0"/>
    <s v="male"/>
    <n v="2"/>
    <x v="3"/>
  </r>
  <r>
    <n v="1292"/>
    <n v="19"/>
    <n v="34.9"/>
    <n v="0"/>
    <n v="1"/>
    <n v="34828.654000000002"/>
    <s v="southwest"/>
    <x v="1"/>
    <s v="male"/>
    <n v="4"/>
    <x v="0"/>
  </r>
  <r>
    <n v="1300"/>
    <n v="19"/>
    <n v="25.745000000000001"/>
    <n v="1"/>
    <n v="0"/>
    <n v="2710.8285500000002"/>
    <s v="northwest"/>
    <x v="0"/>
    <s v="female"/>
    <n v="3"/>
    <x v="1"/>
  </r>
  <r>
    <n v="1314"/>
    <n v="19"/>
    <n v="34.700000000000003"/>
    <n v="2"/>
    <n v="1"/>
    <n v="36397.576000000001"/>
    <s v="southwest"/>
    <x v="1"/>
    <s v="female"/>
    <n v="4"/>
    <x v="0"/>
  </r>
  <r>
    <n v="1317"/>
    <n v="19"/>
    <n v="20.6"/>
    <n v="0"/>
    <n v="0"/>
    <n v="1731.6769999999999"/>
    <s v="southwest"/>
    <x v="0"/>
    <s v="female"/>
    <n v="2"/>
    <x v="3"/>
  </r>
  <r>
    <n v="65"/>
    <n v="20"/>
    <n v="22.42"/>
    <n v="0"/>
    <n v="1"/>
    <n v="14711.7438"/>
    <s v="northwest"/>
    <x v="1"/>
    <s v="female"/>
    <n v="2"/>
    <x v="3"/>
  </r>
  <r>
    <n v="106"/>
    <n v="20"/>
    <n v="28.024999999999999"/>
    <n v="1"/>
    <n v="1"/>
    <n v="17560.37975"/>
    <s v="northwest"/>
    <x v="1"/>
    <s v="male"/>
    <n v="3"/>
    <x v="1"/>
  </r>
  <r>
    <n v="123"/>
    <n v="20"/>
    <n v="28.975000000000001"/>
    <n v="0"/>
    <n v="0"/>
    <n v="2257.47525"/>
    <s v="northwest"/>
    <x v="0"/>
    <s v="female"/>
    <n v="3"/>
    <x v="1"/>
  </r>
  <r>
    <n v="135"/>
    <n v="20"/>
    <n v="28.785"/>
    <n v="0"/>
    <n v="0"/>
    <n v="2457.2111500000001"/>
    <s v="northeast"/>
    <x v="0"/>
    <s v="female"/>
    <n v="3"/>
    <x v="1"/>
  </r>
  <r>
    <n v="167"/>
    <n v="20"/>
    <n v="37"/>
    <n v="5"/>
    <n v="0"/>
    <n v="4830.63"/>
    <s v="southwest"/>
    <x v="0"/>
    <s v="female"/>
    <n v="5"/>
    <x v="2"/>
  </r>
  <r>
    <n v="211"/>
    <n v="20"/>
    <n v="33"/>
    <n v="1"/>
    <n v="0"/>
    <n v="1980.07"/>
    <s v="southwest"/>
    <x v="0"/>
    <s v="male"/>
    <n v="4"/>
    <x v="0"/>
  </r>
  <r>
    <n v="262"/>
    <n v="20"/>
    <n v="26.84"/>
    <n v="1"/>
    <n v="1"/>
    <n v="17085.267599999999"/>
    <s v="southeast"/>
    <x v="1"/>
    <s v="female"/>
    <n v="3"/>
    <x v="1"/>
  </r>
  <r>
    <n v="375"/>
    <n v="20"/>
    <n v="33.33"/>
    <n v="0"/>
    <n v="0"/>
    <n v="1391.5287000000001"/>
    <s v="southeast"/>
    <x v="0"/>
    <s v="male"/>
    <n v="4"/>
    <x v="0"/>
  </r>
  <r>
    <n v="454"/>
    <n v="20"/>
    <n v="29.734999999999999"/>
    <n v="0"/>
    <n v="0"/>
    <n v="1769.5316499999999"/>
    <s v="northwest"/>
    <x v="0"/>
    <s v="male"/>
    <n v="3"/>
    <x v="1"/>
  </r>
  <r>
    <n v="496"/>
    <n v="20"/>
    <n v="27.93"/>
    <n v="0"/>
    <n v="0"/>
    <n v="1967.0227"/>
    <s v="northeast"/>
    <x v="0"/>
    <s v="male"/>
    <n v="3"/>
    <x v="1"/>
  </r>
  <r>
    <n v="517"/>
    <n v="20"/>
    <n v="35.31"/>
    <n v="1"/>
    <n v="0"/>
    <n v="27724.28875"/>
    <s v="southeast"/>
    <x v="0"/>
    <s v="male"/>
    <n v="5"/>
    <x v="2"/>
  </r>
  <r>
    <n v="542"/>
    <n v="20"/>
    <n v="31.79"/>
    <n v="2"/>
    <n v="0"/>
    <n v="3056.3881000000001"/>
    <s v="southeast"/>
    <x v="0"/>
    <s v="female"/>
    <n v="4"/>
    <x v="0"/>
  </r>
  <r>
    <n v="593"/>
    <n v="20"/>
    <n v="31.13"/>
    <n v="2"/>
    <n v="0"/>
    <n v="2566.4706999999999"/>
    <s v="southeast"/>
    <x v="0"/>
    <s v="male"/>
    <n v="4"/>
    <x v="0"/>
  </r>
  <r>
    <n v="615"/>
    <n v="20"/>
    <n v="33"/>
    <n v="0"/>
    <n v="0"/>
    <n v="1880.07"/>
    <s v="southeast"/>
    <x v="0"/>
    <s v="female"/>
    <n v="4"/>
    <x v="0"/>
  </r>
  <r>
    <n v="693"/>
    <n v="20"/>
    <n v="32.395000000000003"/>
    <n v="1"/>
    <n v="0"/>
    <n v="2362.2290499999999"/>
    <s v="northwest"/>
    <x v="0"/>
    <s v="male"/>
    <n v="4"/>
    <x v="0"/>
  </r>
  <r>
    <n v="714"/>
    <n v="20"/>
    <n v="40.47"/>
    <n v="0"/>
    <n v="0"/>
    <n v="1984.4532999999999"/>
    <s v="northeast"/>
    <x v="0"/>
    <s v="male"/>
    <n v="6"/>
    <x v="5"/>
  </r>
  <r>
    <n v="816"/>
    <n v="20"/>
    <n v="31.46"/>
    <n v="0"/>
    <n v="0"/>
    <n v="1877.9294"/>
    <s v="southeast"/>
    <x v="0"/>
    <s v="female"/>
    <n v="4"/>
    <x v="0"/>
  </r>
  <r>
    <n v="856"/>
    <n v="20"/>
    <n v="29.6"/>
    <n v="0"/>
    <n v="0"/>
    <n v="1875.3440000000001"/>
    <s v="southwest"/>
    <x v="0"/>
    <s v="female"/>
    <n v="3"/>
    <x v="1"/>
  </r>
  <r>
    <n v="985"/>
    <n v="20"/>
    <n v="30.114999999999998"/>
    <n v="5"/>
    <n v="0"/>
    <n v="4915.0598499999996"/>
    <s v="northeast"/>
    <x v="0"/>
    <s v="male"/>
    <n v="4"/>
    <x v="0"/>
  </r>
  <r>
    <n v="1043"/>
    <n v="20"/>
    <n v="30.684999999999999"/>
    <n v="0"/>
    <n v="1"/>
    <n v="33475.817150000003"/>
    <s v="northeast"/>
    <x v="1"/>
    <s v="male"/>
    <n v="4"/>
    <x v="0"/>
  </r>
  <r>
    <n v="1148"/>
    <n v="20"/>
    <n v="31.92"/>
    <n v="0"/>
    <n v="0"/>
    <n v="2261.5688"/>
    <s v="northwest"/>
    <x v="0"/>
    <s v="female"/>
    <n v="4"/>
    <x v="0"/>
  </r>
  <r>
    <n v="1159"/>
    <n v="20"/>
    <n v="30.59"/>
    <n v="0"/>
    <n v="0"/>
    <n v="2459.7201"/>
    <s v="northeast"/>
    <x v="0"/>
    <s v="female"/>
    <n v="4"/>
    <x v="0"/>
  </r>
  <r>
    <n v="1187"/>
    <n v="20"/>
    <n v="35.625"/>
    <n v="3"/>
    <n v="1"/>
    <n v="37465.34375"/>
    <s v="northwest"/>
    <x v="1"/>
    <s v="male"/>
    <n v="5"/>
    <x v="2"/>
  </r>
  <r>
    <n v="1224"/>
    <n v="20"/>
    <n v="24.42"/>
    <n v="0"/>
    <n v="1"/>
    <n v="26125.674770000001"/>
    <s v="southeast"/>
    <x v="1"/>
    <s v="female"/>
    <n v="2"/>
    <x v="3"/>
  </r>
  <r>
    <n v="1232"/>
    <n v="20"/>
    <n v="21.8"/>
    <n v="0"/>
    <n v="1"/>
    <n v="20167.336029999999"/>
    <s v="southwest"/>
    <x v="1"/>
    <s v="female"/>
    <n v="2"/>
    <x v="3"/>
  </r>
  <r>
    <n v="1253"/>
    <n v="20"/>
    <n v="27.3"/>
    <n v="0"/>
    <n v="1"/>
    <n v="16232.847"/>
    <s v="southwest"/>
    <x v="1"/>
    <s v="male"/>
    <n v="3"/>
    <x v="1"/>
  </r>
  <r>
    <n v="1269"/>
    <n v="20"/>
    <n v="33.299999999999997"/>
    <n v="0"/>
    <n v="0"/>
    <n v="1880.4870000000001"/>
    <s v="southwest"/>
    <x v="0"/>
    <s v="female"/>
    <n v="4"/>
    <x v="0"/>
  </r>
  <r>
    <n v="1289"/>
    <n v="20"/>
    <n v="39.4"/>
    <n v="2"/>
    <n v="1"/>
    <n v="38344.565999999999"/>
    <s v="southwest"/>
    <x v="1"/>
    <s v="male"/>
    <n v="5"/>
    <x v="2"/>
  </r>
  <r>
    <n v="1296"/>
    <n v="20"/>
    <n v="22"/>
    <n v="1"/>
    <n v="0"/>
    <n v="1964.78"/>
    <s v="southwest"/>
    <x v="0"/>
    <s v="male"/>
    <n v="2"/>
    <x v="3"/>
  </r>
  <r>
    <n v="52"/>
    <n v="21"/>
    <n v="33.630000000000003"/>
    <n v="2"/>
    <n v="0"/>
    <n v="3579.8287"/>
    <s v="northwest"/>
    <x v="0"/>
    <s v="female"/>
    <n v="4"/>
    <x v="0"/>
  </r>
  <r>
    <n v="78"/>
    <n v="21"/>
    <n v="35.53"/>
    <n v="0"/>
    <n v="0"/>
    <n v="1532.4697000000001"/>
    <s v="southeast"/>
    <x v="0"/>
    <s v="male"/>
    <n v="5"/>
    <x v="2"/>
  </r>
  <r>
    <n v="91"/>
    <n v="21"/>
    <n v="39.49"/>
    <n v="0"/>
    <n v="0"/>
    <n v="2026.9740999999999"/>
    <s v="southeast"/>
    <x v="0"/>
    <s v="female"/>
    <n v="5"/>
    <x v="2"/>
  </r>
  <r>
    <n v="114"/>
    <n v="21"/>
    <n v="35.72"/>
    <n v="0"/>
    <n v="0"/>
    <n v="2404.7338"/>
    <s v="northwest"/>
    <x v="0"/>
    <s v="female"/>
    <n v="5"/>
    <x v="2"/>
  </r>
  <r>
    <n v="364"/>
    <n v="21"/>
    <n v="26.4"/>
    <n v="1"/>
    <n v="0"/>
    <n v="2597.779"/>
    <s v="southwest"/>
    <x v="0"/>
    <s v="female"/>
    <n v="3"/>
    <x v="1"/>
  </r>
  <r>
    <n v="365"/>
    <n v="21"/>
    <n v="21.89"/>
    <n v="2"/>
    <n v="0"/>
    <n v="3180.5101"/>
    <s v="southeast"/>
    <x v="0"/>
    <s v="female"/>
    <n v="2"/>
    <x v="3"/>
  </r>
  <r>
    <n v="398"/>
    <n v="21"/>
    <n v="31.02"/>
    <n v="0"/>
    <n v="0"/>
    <n v="16586.49771"/>
    <s v="southeast"/>
    <x v="0"/>
    <s v="male"/>
    <n v="4"/>
    <x v="0"/>
  </r>
  <r>
    <n v="429"/>
    <n v="21"/>
    <n v="16.815000000000001"/>
    <n v="1"/>
    <n v="0"/>
    <n v="3167.4558499999998"/>
    <s v="northeast"/>
    <x v="0"/>
    <s v="female"/>
    <n v="1"/>
    <x v="4"/>
  </r>
  <r>
    <n v="479"/>
    <n v="21"/>
    <n v="36.85"/>
    <n v="0"/>
    <n v="0"/>
    <n v="1534.3045"/>
    <s v="southeast"/>
    <x v="0"/>
    <s v="male"/>
    <n v="5"/>
    <x v="2"/>
  </r>
  <r>
    <n v="495"/>
    <n v="21"/>
    <n v="25.7"/>
    <n v="4"/>
    <n v="1"/>
    <n v="17942.106"/>
    <s v="southwest"/>
    <x v="1"/>
    <s v="male"/>
    <n v="3"/>
    <x v="1"/>
  </r>
  <r>
    <n v="508"/>
    <n v="21"/>
    <n v="23.75"/>
    <n v="2"/>
    <n v="0"/>
    <n v="3077.0954999999999"/>
    <s v="northwest"/>
    <x v="0"/>
    <s v="male"/>
    <n v="2"/>
    <x v="3"/>
  </r>
  <r>
    <n v="587"/>
    <n v="21"/>
    <n v="20.234999999999999"/>
    <n v="3"/>
    <n v="0"/>
    <n v="3861.2096499999998"/>
    <s v="northeast"/>
    <x v="0"/>
    <s v="male"/>
    <n v="2"/>
    <x v="3"/>
  </r>
  <r>
    <n v="594"/>
    <n v="21"/>
    <n v="21.85"/>
    <n v="1"/>
    <n v="1"/>
    <n v="15359.104499999999"/>
    <s v="northeast"/>
    <x v="1"/>
    <s v="female"/>
    <n v="2"/>
    <x v="3"/>
  </r>
  <r>
    <n v="681"/>
    <n v="21"/>
    <n v="17.399999999999999"/>
    <n v="1"/>
    <n v="0"/>
    <n v="2585.2689999999998"/>
    <s v="southwest"/>
    <x v="0"/>
    <s v="female"/>
    <n v="1"/>
    <x v="4"/>
  </r>
  <r>
    <n v="691"/>
    <n v="21"/>
    <n v="27.36"/>
    <n v="0"/>
    <n v="0"/>
    <n v="2104.1134000000002"/>
    <s v="northeast"/>
    <x v="0"/>
    <s v="male"/>
    <n v="3"/>
    <x v="1"/>
  </r>
  <r>
    <n v="701"/>
    <n v="21"/>
    <n v="34.869999999999997"/>
    <n v="0"/>
    <n v="0"/>
    <n v="2020.5523000000001"/>
    <s v="southeast"/>
    <x v="0"/>
    <s v="female"/>
    <n v="4"/>
    <x v="0"/>
  </r>
  <r>
    <n v="752"/>
    <n v="21"/>
    <n v="28.975000000000001"/>
    <n v="0"/>
    <n v="0"/>
    <n v="1906.35825"/>
    <s v="northwest"/>
    <x v="0"/>
    <s v="male"/>
    <n v="3"/>
    <x v="1"/>
  </r>
  <r>
    <n v="788"/>
    <n v="21"/>
    <n v="36.86"/>
    <n v="0"/>
    <n v="0"/>
    <n v="1917.3184000000001"/>
    <s v="northwest"/>
    <x v="0"/>
    <s v="male"/>
    <n v="5"/>
    <x v="2"/>
  </r>
  <r>
    <n v="803"/>
    <n v="21"/>
    <n v="22.3"/>
    <n v="1"/>
    <n v="0"/>
    <n v="2103.08"/>
    <s v="southwest"/>
    <x v="0"/>
    <s v="male"/>
    <n v="2"/>
    <x v="3"/>
  </r>
  <r>
    <n v="841"/>
    <n v="21"/>
    <n v="31.1"/>
    <n v="0"/>
    <n v="0"/>
    <n v="1526.3119999999999"/>
    <s v="southwest"/>
    <x v="0"/>
    <s v="male"/>
    <n v="4"/>
    <x v="0"/>
  </r>
  <r>
    <n v="883"/>
    <n v="21"/>
    <n v="22.135000000000002"/>
    <n v="0"/>
    <n v="0"/>
    <n v="2585.8506499999999"/>
    <s v="northeast"/>
    <x v="0"/>
    <s v="female"/>
    <n v="2"/>
    <x v="3"/>
  </r>
  <r>
    <n v="969"/>
    <n v="21"/>
    <n v="25.745000000000001"/>
    <n v="2"/>
    <n v="0"/>
    <n v="3279.8685500000001"/>
    <s v="northeast"/>
    <x v="0"/>
    <s v="male"/>
    <n v="3"/>
    <x v="1"/>
  </r>
  <r>
    <n v="1020"/>
    <n v="21"/>
    <n v="32.68"/>
    <n v="2"/>
    <n v="0"/>
    <n v="26018.950519999999"/>
    <s v="northwest"/>
    <x v="0"/>
    <s v="female"/>
    <n v="4"/>
    <x v="0"/>
  </r>
  <r>
    <n v="1026"/>
    <n v="21"/>
    <n v="34.6"/>
    <n v="0"/>
    <n v="0"/>
    <n v="2020.1769999999999"/>
    <s v="southwest"/>
    <x v="0"/>
    <s v="female"/>
    <n v="4"/>
    <x v="0"/>
  </r>
  <r>
    <n v="1073"/>
    <n v="21"/>
    <n v="31.254999999999999"/>
    <n v="0"/>
    <n v="0"/>
    <n v="1909.52745"/>
    <s v="northwest"/>
    <x v="0"/>
    <s v="male"/>
    <n v="4"/>
    <x v="0"/>
  </r>
  <r>
    <n v="1078"/>
    <n v="21"/>
    <n v="26.03"/>
    <n v="0"/>
    <n v="0"/>
    <n v="2102.2647000000002"/>
    <s v="northeast"/>
    <x v="0"/>
    <s v="male"/>
    <n v="3"/>
    <x v="1"/>
  </r>
  <r>
    <n v="1293"/>
    <n v="21"/>
    <n v="23.21"/>
    <n v="0"/>
    <n v="0"/>
    <n v="1515.3449000000001"/>
    <s v="southeast"/>
    <x v="0"/>
    <s v="male"/>
    <n v="2"/>
    <x v="3"/>
  </r>
  <r>
    <n v="1337"/>
    <n v="21"/>
    <n v="25.8"/>
    <n v="0"/>
    <n v="0"/>
    <n v="2007.9449999999999"/>
    <s v="southwest"/>
    <x v="0"/>
    <s v="female"/>
    <n v="3"/>
    <x v="1"/>
  </r>
  <r>
    <n v="31"/>
    <n v="22"/>
    <n v="35.6"/>
    <n v="0"/>
    <n v="1"/>
    <n v="35585.576000000001"/>
    <s v="southwest"/>
    <x v="1"/>
    <s v="male"/>
    <n v="5"/>
    <x v="2"/>
  </r>
  <r>
    <n v="79"/>
    <n v="22"/>
    <n v="39.805"/>
    <n v="0"/>
    <n v="0"/>
    <n v="2755.0209500000001"/>
    <s v="northeast"/>
    <x v="0"/>
    <s v="female"/>
    <n v="5"/>
    <x v="2"/>
  </r>
  <r>
    <n v="83"/>
    <n v="22"/>
    <n v="37.619999999999997"/>
    <n v="1"/>
    <n v="1"/>
    <n v="37165.163800000002"/>
    <s v="southeast"/>
    <x v="1"/>
    <s v="male"/>
    <n v="5"/>
    <x v="2"/>
  </r>
  <r>
    <n v="136"/>
    <n v="22"/>
    <n v="28.05"/>
    <n v="0"/>
    <n v="0"/>
    <n v="2155.6815000000001"/>
    <s v="southeast"/>
    <x v="0"/>
    <s v="female"/>
    <n v="3"/>
    <x v="1"/>
  </r>
  <r>
    <n v="138"/>
    <n v="22"/>
    <n v="25.175000000000001"/>
    <n v="0"/>
    <n v="0"/>
    <n v="2045.68525"/>
    <s v="northwest"/>
    <x v="0"/>
    <s v="male"/>
    <n v="3"/>
    <x v="1"/>
  </r>
  <r>
    <n v="140"/>
    <n v="22"/>
    <n v="36"/>
    <n v="0"/>
    <n v="0"/>
    <n v="2166.732"/>
    <s v="southwest"/>
    <x v="0"/>
    <s v="female"/>
    <n v="5"/>
    <x v="2"/>
  </r>
  <r>
    <n v="183"/>
    <n v="22"/>
    <n v="19.95"/>
    <n v="3"/>
    <n v="0"/>
    <n v="4005.4225000000001"/>
    <s v="northeast"/>
    <x v="0"/>
    <s v="male"/>
    <n v="2"/>
    <x v="3"/>
  </r>
  <r>
    <n v="278"/>
    <n v="22"/>
    <n v="24.3"/>
    <n v="0"/>
    <n v="0"/>
    <n v="2150.4690000000001"/>
    <s v="southwest"/>
    <x v="0"/>
    <s v="female"/>
    <n v="2"/>
    <x v="3"/>
  </r>
  <r>
    <n v="294"/>
    <n v="22"/>
    <n v="28.82"/>
    <n v="0"/>
    <n v="0"/>
    <n v="2156.7518"/>
    <s v="southeast"/>
    <x v="0"/>
    <s v="female"/>
    <n v="3"/>
    <x v="1"/>
  </r>
  <r>
    <n v="437"/>
    <n v="22"/>
    <n v="31.73"/>
    <n v="0"/>
    <n v="0"/>
    <n v="2254.7966999999999"/>
    <s v="northeast"/>
    <x v="0"/>
    <s v="male"/>
    <n v="4"/>
    <x v="0"/>
  </r>
  <r>
    <n v="507"/>
    <n v="22"/>
    <n v="31.35"/>
    <n v="1"/>
    <n v="0"/>
    <n v="2643.2685000000001"/>
    <s v="northwest"/>
    <x v="0"/>
    <s v="male"/>
    <n v="4"/>
    <x v="0"/>
  </r>
  <r>
    <n v="577"/>
    <n v="22"/>
    <n v="26.84"/>
    <n v="0"/>
    <n v="0"/>
    <n v="1664.9996000000001"/>
    <s v="southeast"/>
    <x v="0"/>
    <s v="male"/>
    <n v="3"/>
    <x v="1"/>
  </r>
  <r>
    <n v="761"/>
    <n v="22"/>
    <n v="34.58"/>
    <n v="2"/>
    <n v="0"/>
    <n v="3925.7582000000002"/>
    <s v="northeast"/>
    <x v="0"/>
    <s v="female"/>
    <n v="4"/>
    <x v="0"/>
  </r>
  <r>
    <n v="793"/>
    <n v="22"/>
    <n v="23.18"/>
    <n v="0"/>
    <n v="0"/>
    <n v="2731.9122000000002"/>
    <s v="northeast"/>
    <x v="0"/>
    <s v="female"/>
    <n v="2"/>
    <x v="3"/>
  </r>
  <r>
    <n v="881"/>
    <n v="22"/>
    <n v="34.799999999999997"/>
    <n v="3"/>
    <n v="0"/>
    <n v="3443.0639999999999"/>
    <s v="southwest"/>
    <x v="0"/>
    <s v="male"/>
    <n v="4"/>
    <x v="0"/>
  </r>
  <r>
    <n v="889"/>
    <n v="22"/>
    <n v="39.5"/>
    <n v="0"/>
    <n v="0"/>
    <n v="1682.597"/>
    <s v="southwest"/>
    <x v="0"/>
    <s v="male"/>
    <n v="5"/>
    <x v="2"/>
  </r>
  <r>
    <n v="911"/>
    <n v="22"/>
    <n v="28.31"/>
    <n v="1"/>
    <n v="0"/>
    <n v="2639.0428999999999"/>
    <s v="northwest"/>
    <x v="0"/>
    <s v="male"/>
    <n v="3"/>
    <x v="1"/>
  </r>
  <r>
    <n v="973"/>
    <n v="22"/>
    <n v="20.234999999999999"/>
    <n v="0"/>
    <n v="0"/>
    <n v="2527.8186500000002"/>
    <s v="northwest"/>
    <x v="0"/>
    <s v="female"/>
    <n v="2"/>
    <x v="3"/>
  </r>
  <r>
    <n v="1022"/>
    <n v="22"/>
    <n v="31.02"/>
    <n v="3"/>
    <n v="1"/>
    <n v="35595.589800000002"/>
    <s v="southeast"/>
    <x v="1"/>
    <s v="female"/>
    <n v="4"/>
    <x v="0"/>
  </r>
  <r>
    <n v="1037"/>
    <n v="22"/>
    <n v="37.07"/>
    <n v="2"/>
    <n v="1"/>
    <n v="37484.4493"/>
    <s v="southeast"/>
    <x v="1"/>
    <s v="male"/>
    <n v="5"/>
    <x v="2"/>
  </r>
  <r>
    <n v="1039"/>
    <n v="22"/>
    <n v="28.88"/>
    <n v="0"/>
    <n v="0"/>
    <n v="2250.8352"/>
    <s v="northeast"/>
    <x v="0"/>
    <s v="male"/>
    <n v="3"/>
    <x v="1"/>
  </r>
  <r>
    <n v="1048"/>
    <n v="22"/>
    <n v="52.58"/>
    <n v="1"/>
    <n v="1"/>
    <n v="44501.398200000003"/>
    <s v="southeast"/>
    <x v="1"/>
    <s v="male"/>
    <n v="6"/>
    <x v="5"/>
  </r>
  <r>
    <n v="1094"/>
    <n v="22"/>
    <n v="30.4"/>
    <n v="0"/>
    <n v="1"/>
    <n v="33907.548000000003"/>
    <s v="northwest"/>
    <x v="1"/>
    <s v="female"/>
    <n v="4"/>
    <x v="0"/>
  </r>
  <r>
    <n v="1098"/>
    <n v="22"/>
    <n v="33.770000000000003"/>
    <n v="0"/>
    <n v="0"/>
    <n v="1674.6323"/>
    <s v="southeast"/>
    <x v="0"/>
    <s v="male"/>
    <n v="4"/>
    <x v="0"/>
  </r>
  <r>
    <n v="1176"/>
    <n v="22"/>
    <n v="27.1"/>
    <n v="0"/>
    <n v="0"/>
    <n v="2154.3609999999999"/>
    <s v="southwest"/>
    <x v="0"/>
    <s v="female"/>
    <n v="3"/>
    <x v="1"/>
  </r>
  <r>
    <n v="1203"/>
    <n v="22"/>
    <n v="32.11"/>
    <n v="0"/>
    <n v="0"/>
    <n v="2055.3249000000001"/>
    <s v="northwest"/>
    <x v="0"/>
    <s v="male"/>
    <n v="4"/>
    <x v="0"/>
  </r>
  <r>
    <n v="1243"/>
    <n v="22"/>
    <n v="21.28"/>
    <n v="3"/>
    <n v="0"/>
    <n v="4296.2712000000001"/>
    <s v="northwest"/>
    <x v="0"/>
    <s v="female"/>
    <n v="2"/>
    <x v="3"/>
  </r>
  <r>
    <n v="1277"/>
    <n v="22"/>
    <n v="30.4"/>
    <n v="0"/>
    <n v="0"/>
    <n v="2741.9479999999999"/>
    <s v="northeast"/>
    <x v="0"/>
    <s v="female"/>
    <n v="4"/>
    <x v="0"/>
  </r>
  <r>
    <n v="13"/>
    <n v="23"/>
    <n v="34.4"/>
    <n v="0"/>
    <n v="0"/>
    <n v="1826.8430000000001"/>
    <s v="southwest"/>
    <x v="0"/>
    <s v="male"/>
    <n v="4"/>
    <x v="0"/>
  </r>
  <r>
    <n v="18"/>
    <n v="23"/>
    <n v="23.844999999999999"/>
    <n v="0"/>
    <n v="0"/>
    <n v="2395.17155"/>
    <s v="northeast"/>
    <x v="0"/>
    <s v="male"/>
    <n v="2"/>
    <x v="3"/>
  </r>
  <r>
    <n v="29"/>
    <n v="23"/>
    <n v="17.385000000000002"/>
    <n v="1"/>
    <n v="0"/>
    <n v="2775.1921499999999"/>
    <s v="northwest"/>
    <x v="0"/>
    <s v="male"/>
    <n v="1"/>
    <x v="4"/>
  </r>
  <r>
    <n v="241"/>
    <n v="23"/>
    <n v="36.67"/>
    <n v="2"/>
    <n v="1"/>
    <n v="38511.628299999997"/>
    <s v="northeast"/>
    <x v="1"/>
    <s v="female"/>
    <n v="5"/>
    <x v="2"/>
  </r>
  <r>
    <n v="359"/>
    <n v="23"/>
    <n v="41.91"/>
    <n v="0"/>
    <n v="0"/>
    <n v="1837.2819"/>
    <s v="southeast"/>
    <x v="0"/>
    <s v="male"/>
    <n v="6"/>
    <x v="5"/>
  </r>
  <r>
    <n v="376"/>
    <n v="23"/>
    <n v="28.31"/>
    <n v="0"/>
    <n v="1"/>
    <n v="18033.9679"/>
    <s v="northwest"/>
    <x v="1"/>
    <s v="female"/>
    <n v="3"/>
    <x v="1"/>
  </r>
  <r>
    <n v="480"/>
    <n v="23"/>
    <n v="32.56"/>
    <n v="0"/>
    <n v="0"/>
    <n v="1824.2854"/>
    <s v="southeast"/>
    <x v="0"/>
    <s v="male"/>
    <n v="4"/>
    <x v="0"/>
  </r>
  <r>
    <n v="644"/>
    <n v="23"/>
    <n v="34.96"/>
    <n v="3"/>
    <n v="0"/>
    <n v="4466.6214"/>
    <s v="northwest"/>
    <x v="0"/>
    <s v="female"/>
    <n v="5"/>
    <x v="2"/>
  </r>
  <r>
    <n v="700"/>
    <n v="23"/>
    <n v="39.270000000000003"/>
    <n v="2"/>
    <n v="0"/>
    <n v="3500.6122999999998"/>
    <s v="southeast"/>
    <x v="0"/>
    <s v="female"/>
    <n v="5"/>
    <x v="2"/>
  </r>
  <r>
    <n v="739"/>
    <n v="23"/>
    <n v="31.73"/>
    <n v="3"/>
    <n v="1"/>
    <n v="36189.101699999999"/>
    <s v="northeast"/>
    <x v="1"/>
    <s v="male"/>
    <n v="4"/>
    <x v="0"/>
  </r>
  <r>
    <n v="762"/>
    <n v="23"/>
    <n v="35.200000000000003"/>
    <n v="1"/>
    <n v="0"/>
    <n v="2416.9549999999999"/>
    <s v="southwest"/>
    <x v="0"/>
    <s v="male"/>
    <n v="5"/>
    <x v="2"/>
  </r>
  <r>
    <n v="805"/>
    <n v="23"/>
    <n v="26.51"/>
    <n v="0"/>
    <n v="0"/>
    <n v="1815.8759"/>
    <s v="southeast"/>
    <x v="0"/>
    <s v="male"/>
    <n v="3"/>
    <x v="1"/>
  </r>
  <r>
    <n v="818"/>
    <n v="23"/>
    <n v="37.1"/>
    <n v="3"/>
    <n v="0"/>
    <n v="3597.596"/>
    <s v="southwest"/>
    <x v="0"/>
    <s v="male"/>
    <n v="5"/>
    <x v="2"/>
  </r>
  <r>
    <n v="843"/>
    <n v="23"/>
    <n v="32.78"/>
    <n v="2"/>
    <n v="1"/>
    <n v="36021.011200000001"/>
    <s v="southeast"/>
    <x v="1"/>
    <s v="female"/>
    <n v="4"/>
    <x v="0"/>
  </r>
  <r>
    <n v="848"/>
    <n v="23"/>
    <n v="50.38"/>
    <n v="1"/>
    <n v="0"/>
    <n v="2438.0551999999998"/>
    <s v="southeast"/>
    <x v="0"/>
    <s v="male"/>
    <n v="6"/>
    <x v="5"/>
  </r>
  <r>
    <n v="876"/>
    <n v="23"/>
    <n v="28.12"/>
    <n v="0"/>
    <n v="0"/>
    <n v="2690.1138000000001"/>
    <s v="northwest"/>
    <x v="0"/>
    <s v="female"/>
    <n v="3"/>
    <x v="1"/>
  </r>
  <r>
    <n v="882"/>
    <n v="23"/>
    <n v="27.36"/>
    <n v="1"/>
    <n v="0"/>
    <n v="2789.0574000000001"/>
    <s v="northwest"/>
    <x v="0"/>
    <s v="male"/>
    <n v="3"/>
    <x v="1"/>
  </r>
  <r>
    <n v="1028"/>
    <n v="23"/>
    <n v="18.715"/>
    <n v="0"/>
    <n v="0"/>
    <n v="21595.382290000001"/>
    <s v="northwest"/>
    <x v="0"/>
    <s v="male"/>
    <n v="2"/>
    <x v="3"/>
  </r>
  <r>
    <n v="1093"/>
    <n v="23"/>
    <n v="32.700000000000003"/>
    <n v="3"/>
    <n v="0"/>
    <n v="3591.48"/>
    <s v="southwest"/>
    <x v="0"/>
    <s v="male"/>
    <n v="4"/>
    <x v="0"/>
  </r>
  <r>
    <n v="1115"/>
    <n v="23"/>
    <n v="24.51"/>
    <n v="0"/>
    <n v="0"/>
    <n v="2396.0958999999998"/>
    <s v="northeast"/>
    <x v="0"/>
    <s v="male"/>
    <n v="2"/>
    <x v="3"/>
  </r>
  <r>
    <n v="1121"/>
    <n v="23"/>
    <n v="31.4"/>
    <n v="0"/>
    <n v="1"/>
    <n v="34166.273000000001"/>
    <s v="southwest"/>
    <x v="1"/>
    <s v="female"/>
    <n v="4"/>
    <x v="0"/>
  </r>
  <r>
    <n v="1125"/>
    <n v="23"/>
    <n v="42.75"/>
    <n v="1"/>
    <n v="1"/>
    <n v="40904.199500000002"/>
    <s v="northeast"/>
    <x v="1"/>
    <s v="female"/>
    <n v="6"/>
    <x v="5"/>
  </r>
  <r>
    <n v="1158"/>
    <n v="23"/>
    <n v="23.18"/>
    <n v="2"/>
    <n v="0"/>
    <n v="14426.073850000001"/>
    <s v="northwest"/>
    <x v="0"/>
    <s v="female"/>
    <n v="2"/>
    <x v="3"/>
  </r>
  <r>
    <n v="1179"/>
    <n v="23"/>
    <n v="34.865000000000002"/>
    <n v="0"/>
    <n v="0"/>
    <n v="2899.4893499999998"/>
    <s v="northeast"/>
    <x v="0"/>
    <s v="female"/>
    <n v="4"/>
    <x v="0"/>
  </r>
  <r>
    <n v="1185"/>
    <n v="23"/>
    <n v="28.49"/>
    <n v="1"/>
    <n v="1"/>
    <n v="18328.238099999999"/>
    <s v="southeast"/>
    <x v="1"/>
    <s v="female"/>
    <n v="3"/>
    <x v="1"/>
  </r>
  <r>
    <n v="1190"/>
    <n v="23"/>
    <n v="28"/>
    <n v="0"/>
    <n v="0"/>
    <n v="13126.677449999999"/>
    <s v="southwest"/>
    <x v="0"/>
    <s v="female"/>
    <n v="3"/>
    <x v="1"/>
  </r>
  <r>
    <n v="1329"/>
    <n v="23"/>
    <n v="24.225000000000001"/>
    <n v="2"/>
    <n v="0"/>
    <n v="22395.74424"/>
    <s v="northeast"/>
    <x v="0"/>
    <s v="female"/>
    <n v="2"/>
    <x v="3"/>
  </r>
  <r>
    <n v="1332"/>
    <n v="23"/>
    <n v="33.4"/>
    <n v="0"/>
    <n v="0"/>
    <n v="10795.937330000001"/>
    <s v="southwest"/>
    <x v="0"/>
    <s v="female"/>
    <n v="4"/>
    <x v="0"/>
  </r>
  <r>
    <n v="41"/>
    <n v="24"/>
    <n v="26.6"/>
    <n v="0"/>
    <n v="0"/>
    <n v="3046.0619999999999"/>
    <s v="northeast"/>
    <x v="0"/>
    <s v="female"/>
    <n v="3"/>
    <x v="1"/>
  </r>
  <r>
    <n v="175"/>
    <n v="24"/>
    <n v="33.344999999999999"/>
    <n v="0"/>
    <n v="0"/>
    <n v="2855.4375500000001"/>
    <s v="northwest"/>
    <x v="0"/>
    <s v="female"/>
    <n v="4"/>
    <x v="0"/>
  </r>
  <r>
    <n v="213"/>
    <n v="24"/>
    <n v="28.5"/>
    <n v="2"/>
    <n v="0"/>
    <n v="3537.703"/>
    <s v="northwest"/>
    <x v="0"/>
    <s v="male"/>
    <n v="3"/>
    <x v="1"/>
  </r>
  <r>
    <n v="220"/>
    <n v="24"/>
    <n v="23.21"/>
    <n v="0"/>
    <n v="0"/>
    <n v="25081.76784"/>
    <s v="southeast"/>
    <x v="0"/>
    <s v="female"/>
    <n v="2"/>
    <x v="3"/>
  </r>
  <r>
    <n v="248"/>
    <n v="24"/>
    <n v="35.86"/>
    <n v="0"/>
    <n v="0"/>
    <n v="1986.9333999999999"/>
    <s v="southeast"/>
    <x v="0"/>
    <s v="male"/>
    <n v="5"/>
    <x v="2"/>
  </r>
  <r>
    <n v="341"/>
    <n v="24"/>
    <n v="27.6"/>
    <n v="0"/>
    <n v="0"/>
    <n v="18955.220170000001"/>
    <s v="southwest"/>
    <x v="0"/>
    <s v="female"/>
    <n v="3"/>
    <x v="1"/>
  </r>
  <r>
    <n v="378"/>
    <n v="24"/>
    <n v="40.15"/>
    <n v="0"/>
    <n v="1"/>
    <n v="38126.246500000001"/>
    <s v="southeast"/>
    <x v="1"/>
    <s v="male"/>
    <n v="6"/>
    <x v="5"/>
  </r>
  <r>
    <n v="390"/>
    <n v="24"/>
    <n v="30.21"/>
    <n v="3"/>
    <n v="0"/>
    <n v="4618.0798999999997"/>
    <s v="northwest"/>
    <x v="0"/>
    <s v="female"/>
    <n v="4"/>
    <x v="0"/>
  </r>
  <r>
    <n v="453"/>
    <n v="24"/>
    <n v="23.4"/>
    <n v="0"/>
    <n v="0"/>
    <n v="1969.614"/>
    <s v="southwest"/>
    <x v="0"/>
    <s v="male"/>
    <n v="2"/>
    <x v="3"/>
  </r>
  <r>
    <n v="477"/>
    <n v="24"/>
    <n v="28.5"/>
    <n v="0"/>
    <n v="1"/>
    <n v="35147.528480000001"/>
    <s v="northeast"/>
    <x v="1"/>
    <s v="male"/>
    <n v="3"/>
    <x v="1"/>
  </r>
  <r>
    <n v="509"/>
    <n v="24"/>
    <n v="25.27"/>
    <n v="0"/>
    <n v="0"/>
    <n v="3044.2132999999999"/>
    <s v="northeast"/>
    <x v="0"/>
    <s v="female"/>
    <n v="3"/>
    <x v="1"/>
  </r>
  <r>
    <n v="632"/>
    <n v="24"/>
    <n v="29.3"/>
    <n v="0"/>
    <n v="0"/>
    <n v="1977.8150000000001"/>
    <s v="southwest"/>
    <x v="0"/>
    <s v="male"/>
    <n v="3"/>
    <x v="1"/>
  </r>
  <r>
    <n v="694"/>
    <n v="24"/>
    <n v="23.655000000000001"/>
    <n v="0"/>
    <n v="0"/>
    <n v="2352.9684499999998"/>
    <s v="northwest"/>
    <x v="0"/>
    <s v="male"/>
    <n v="2"/>
    <x v="3"/>
  </r>
  <r>
    <n v="715"/>
    <n v="24"/>
    <n v="22.6"/>
    <n v="0"/>
    <n v="0"/>
    <n v="2457.502"/>
    <s v="southwest"/>
    <x v="0"/>
    <s v="female"/>
    <n v="2"/>
    <x v="3"/>
  </r>
  <r>
    <n v="733"/>
    <n v="24"/>
    <n v="30.1"/>
    <n v="3"/>
    <n v="0"/>
    <n v="4234.9269999999997"/>
    <s v="southwest"/>
    <x v="0"/>
    <s v="female"/>
    <n v="4"/>
    <x v="0"/>
  </r>
  <r>
    <n v="755"/>
    <n v="24"/>
    <n v="33.630000000000003"/>
    <n v="4"/>
    <n v="0"/>
    <n v="17128.426080000001"/>
    <s v="northeast"/>
    <x v="0"/>
    <s v="male"/>
    <n v="4"/>
    <x v="0"/>
  </r>
  <r>
    <n v="817"/>
    <n v="24"/>
    <n v="24.225000000000001"/>
    <n v="0"/>
    <n v="0"/>
    <n v="2842.7607499999999"/>
    <s v="northwest"/>
    <x v="0"/>
    <s v="female"/>
    <n v="2"/>
    <x v="3"/>
  </r>
  <r>
    <n v="916"/>
    <n v="24"/>
    <n v="33.99"/>
    <n v="0"/>
    <n v="0"/>
    <n v="2473.3341"/>
    <s v="southeast"/>
    <x v="0"/>
    <s v="female"/>
    <n v="4"/>
    <x v="0"/>
  </r>
  <r>
    <n v="958"/>
    <n v="24"/>
    <n v="26.79"/>
    <n v="1"/>
    <n v="0"/>
    <n v="12609.88702"/>
    <s v="northwest"/>
    <x v="0"/>
    <s v="male"/>
    <n v="3"/>
    <x v="1"/>
  </r>
  <r>
    <n v="990"/>
    <n v="24"/>
    <n v="20.52"/>
    <n v="0"/>
    <n v="1"/>
    <n v="14571.890799999999"/>
    <s v="northeast"/>
    <x v="1"/>
    <s v="female"/>
    <n v="2"/>
    <x v="3"/>
  </r>
  <r>
    <n v="1002"/>
    <n v="24"/>
    <n v="32.700000000000003"/>
    <n v="0"/>
    <n v="1"/>
    <n v="34472.841"/>
    <s v="southwest"/>
    <x v="1"/>
    <s v="male"/>
    <n v="4"/>
    <x v="0"/>
  </r>
  <r>
    <n v="1003"/>
    <n v="24"/>
    <n v="25.8"/>
    <n v="0"/>
    <n v="0"/>
    <n v="1972.95"/>
    <s v="southwest"/>
    <x v="0"/>
    <s v="male"/>
    <n v="3"/>
    <x v="1"/>
  </r>
  <r>
    <n v="1059"/>
    <n v="24"/>
    <n v="39.49"/>
    <n v="0"/>
    <n v="0"/>
    <n v="2480.9791"/>
    <s v="southeast"/>
    <x v="0"/>
    <s v="female"/>
    <n v="5"/>
    <x v="2"/>
  </r>
  <r>
    <n v="1061"/>
    <n v="24"/>
    <n v="32.01"/>
    <n v="0"/>
    <n v="0"/>
    <n v="1981.5818999999999"/>
    <s v="southeast"/>
    <x v="0"/>
    <s v="male"/>
    <n v="4"/>
    <x v="0"/>
  </r>
  <r>
    <n v="1182"/>
    <n v="24"/>
    <n v="29.925000000000001"/>
    <n v="0"/>
    <n v="0"/>
    <n v="2850.6837500000001"/>
    <s v="northwest"/>
    <x v="0"/>
    <s v="female"/>
    <n v="4"/>
    <x v="0"/>
  </r>
  <r>
    <n v="1251"/>
    <n v="24"/>
    <n v="29.83"/>
    <n v="0"/>
    <n v="1"/>
    <n v="18648.421699999999"/>
    <s v="northeast"/>
    <x v="1"/>
    <s v="male"/>
    <n v="3"/>
    <x v="1"/>
  </r>
  <r>
    <n v="1268"/>
    <n v="24"/>
    <n v="31.065000000000001"/>
    <n v="0"/>
    <n v="1"/>
    <n v="34254.053350000002"/>
    <s v="northeast"/>
    <x v="1"/>
    <s v="male"/>
    <n v="4"/>
    <x v="0"/>
  </r>
  <r>
    <n v="1306"/>
    <n v="24"/>
    <n v="27.72"/>
    <n v="0"/>
    <n v="0"/>
    <n v="2464.6188000000002"/>
    <s v="southeast"/>
    <x v="0"/>
    <s v="female"/>
    <n v="3"/>
    <x v="1"/>
  </r>
  <r>
    <n v="11"/>
    <n v="25"/>
    <n v="26.22"/>
    <n v="0"/>
    <n v="0"/>
    <n v="2721.3208"/>
    <s v="northeast"/>
    <x v="0"/>
    <s v="male"/>
    <n v="3"/>
    <x v="1"/>
  </r>
  <r>
    <n v="62"/>
    <n v="25"/>
    <n v="33.659999999999997"/>
    <n v="4"/>
    <n v="0"/>
    <n v="4504.6624000000002"/>
    <s v="southeast"/>
    <x v="0"/>
    <s v="male"/>
    <n v="4"/>
    <x v="0"/>
  </r>
  <r>
    <n v="193"/>
    <n v="25"/>
    <n v="25.74"/>
    <n v="0"/>
    <n v="0"/>
    <n v="2137.6536000000001"/>
    <s v="southeast"/>
    <x v="0"/>
    <s v="male"/>
    <n v="3"/>
    <x v="1"/>
  </r>
  <r>
    <n v="275"/>
    <n v="25"/>
    <n v="27.55"/>
    <n v="0"/>
    <n v="0"/>
    <n v="2523.1695"/>
    <s v="northwest"/>
    <x v="0"/>
    <s v="male"/>
    <n v="3"/>
    <x v="1"/>
  </r>
  <r>
    <n v="293"/>
    <n v="25"/>
    <n v="45.54"/>
    <n v="2"/>
    <n v="1"/>
    <n v="42112.2356"/>
    <s v="southeast"/>
    <x v="1"/>
    <s v="male"/>
    <n v="6"/>
    <x v="5"/>
  </r>
  <r>
    <n v="295"/>
    <n v="25"/>
    <n v="26.8"/>
    <n v="3"/>
    <n v="0"/>
    <n v="3906.127"/>
    <s v="southwest"/>
    <x v="0"/>
    <s v="male"/>
    <n v="3"/>
    <x v="1"/>
  </r>
  <r>
    <n v="414"/>
    <n v="25"/>
    <n v="23.9"/>
    <n v="5"/>
    <n v="0"/>
    <n v="5080.0959999999995"/>
    <s v="southwest"/>
    <x v="0"/>
    <s v="male"/>
    <n v="2"/>
    <x v="3"/>
  </r>
  <r>
    <n v="424"/>
    <n v="25"/>
    <n v="30.59"/>
    <n v="0"/>
    <n v="0"/>
    <n v="2727.3951000000002"/>
    <s v="northeast"/>
    <x v="0"/>
    <s v="male"/>
    <n v="4"/>
    <x v="0"/>
  </r>
  <r>
    <n v="478"/>
    <n v="25"/>
    <n v="35.625"/>
    <n v="0"/>
    <n v="0"/>
    <n v="2534.3937500000002"/>
    <s v="northwest"/>
    <x v="0"/>
    <s v="male"/>
    <n v="5"/>
    <x v="2"/>
  </r>
  <r>
    <n v="549"/>
    <n v="25"/>
    <n v="28.594999999999999"/>
    <n v="0"/>
    <n v="0"/>
    <n v="3213.6220499999999"/>
    <s v="northeast"/>
    <x v="0"/>
    <s v="female"/>
    <n v="3"/>
    <x v="1"/>
  </r>
  <r>
    <n v="555"/>
    <n v="25"/>
    <n v="41.325000000000003"/>
    <n v="0"/>
    <n v="0"/>
    <n v="17878.900679999999"/>
    <s v="northeast"/>
    <x v="0"/>
    <s v="female"/>
    <n v="6"/>
    <x v="5"/>
  </r>
  <r>
    <n v="580"/>
    <n v="25"/>
    <n v="23.465"/>
    <n v="0"/>
    <n v="0"/>
    <n v="3206.4913499999998"/>
    <s v="northeast"/>
    <x v="0"/>
    <s v="female"/>
    <n v="2"/>
    <x v="3"/>
  </r>
  <r>
    <n v="810"/>
    <n v="25"/>
    <n v="25.84"/>
    <n v="1"/>
    <n v="0"/>
    <n v="3309.7926000000002"/>
    <s v="northeast"/>
    <x v="0"/>
    <s v="male"/>
    <n v="3"/>
    <x v="1"/>
  </r>
  <r>
    <n v="858"/>
    <n v="25"/>
    <n v="24.13"/>
    <n v="0"/>
    <n v="1"/>
    <n v="15817.985699999999"/>
    <s v="northwest"/>
    <x v="1"/>
    <s v="male"/>
    <n v="2"/>
    <x v="3"/>
  </r>
  <r>
    <n v="859"/>
    <n v="25"/>
    <n v="32.229999999999997"/>
    <n v="1"/>
    <n v="0"/>
    <n v="18218.161390000001"/>
    <s v="southeast"/>
    <x v="0"/>
    <s v="female"/>
    <n v="4"/>
    <x v="0"/>
  </r>
  <r>
    <n v="870"/>
    <n v="25"/>
    <n v="24.3"/>
    <n v="3"/>
    <n v="0"/>
    <n v="4391.652"/>
    <s v="southwest"/>
    <x v="0"/>
    <s v="female"/>
    <n v="2"/>
    <x v="3"/>
  </r>
  <r>
    <n v="885"/>
    <n v="25"/>
    <n v="26.695"/>
    <n v="4"/>
    <n v="0"/>
    <n v="4877.9810500000003"/>
    <s v="northwest"/>
    <x v="0"/>
    <s v="male"/>
    <n v="3"/>
    <x v="1"/>
  </r>
  <r>
    <n v="950"/>
    <n v="25"/>
    <n v="29.7"/>
    <n v="3"/>
    <n v="1"/>
    <n v="19933.457999999999"/>
    <s v="southwest"/>
    <x v="1"/>
    <s v="male"/>
    <n v="3"/>
    <x v="1"/>
  </r>
  <r>
    <n v="1009"/>
    <n v="25"/>
    <n v="24.984999999999999"/>
    <n v="2"/>
    <n v="0"/>
    <n v="23241.47453"/>
    <s v="northeast"/>
    <x v="0"/>
    <s v="male"/>
    <n v="3"/>
    <x v="1"/>
  </r>
  <r>
    <n v="1049"/>
    <n v="25"/>
    <n v="22.515000000000001"/>
    <n v="1"/>
    <n v="0"/>
    <n v="3594.17085"/>
    <s v="northwest"/>
    <x v="0"/>
    <s v="female"/>
    <n v="2"/>
    <x v="3"/>
  </r>
  <r>
    <n v="1100"/>
    <n v="25"/>
    <n v="33.99"/>
    <n v="1"/>
    <n v="0"/>
    <n v="3227.1210999999998"/>
    <s v="southeast"/>
    <x v="0"/>
    <s v="female"/>
    <n v="4"/>
    <x v="0"/>
  </r>
  <r>
    <n v="1118"/>
    <n v="25"/>
    <n v="33.33"/>
    <n v="2"/>
    <n v="1"/>
    <n v="36124.573700000001"/>
    <s v="southeast"/>
    <x v="1"/>
    <s v="male"/>
    <n v="4"/>
    <x v="0"/>
  </r>
  <r>
    <n v="1183"/>
    <n v="25"/>
    <n v="30.3"/>
    <n v="0"/>
    <n v="0"/>
    <n v="2632.9920000000002"/>
    <s v="southwest"/>
    <x v="0"/>
    <s v="female"/>
    <n v="4"/>
    <x v="0"/>
  </r>
  <r>
    <n v="1240"/>
    <n v="25"/>
    <n v="42.13"/>
    <n v="1"/>
    <n v="0"/>
    <n v="3238.4357"/>
    <s v="southeast"/>
    <x v="0"/>
    <s v="female"/>
    <n v="6"/>
    <x v="5"/>
  </r>
  <r>
    <n v="1272"/>
    <n v="25"/>
    <n v="34.484999999999999"/>
    <n v="0"/>
    <n v="0"/>
    <n v="3021.80915"/>
    <s v="northwest"/>
    <x v="0"/>
    <s v="female"/>
    <n v="4"/>
    <x v="0"/>
  </r>
  <r>
    <n v="1280"/>
    <n v="25"/>
    <n v="26.79"/>
    <n v="2"/>
    <n v="0"/>
    <n v="4189.1130999999996"/>
    <s v="northwest"/>
    <x v="0"/>
    <s v="female"/>
    <n v="3"/>
    <x v="1"/>
  </r>
  <r>
    <n v="1303"/>
    <n v="25"/>
    <n v="20.8"/>
    <n v="1"/>
    <n v="0"/>
    <n v="3208.7869999999998"/>
    <s v="southwest"/>
    <x v="0"/>
    <s v="female"/>
    <n v="2"/>
    <x v="3"/>
  </r>
  <r>
    <n v="1309"/>
    <n v="25"/>
    <n v="30.2"/>
    <n v="0"/>
    <n v="1"/>
    <n v="33900.652999999998"/>
    <s v="southwest"/>
    <x v="1"/>
    <s v="female"/>
    <n v="4"/>
    <x v="0"/>
  </r>
  <r>
    <n v="38"/>
    <n v="26"/>
    <n v="20.8"/>
    <n v="0"/>
    <n v="0"/>
    <n v="2302.3000000000002"/>
    <s v="southwest"/>
    <x v="0"/>
    <s v="male"/>
    <n v="2"/>
    <x v="3"/>
  </r>
  <r>
    <n v="108"/>
    <n v="26"/>
    <n v="30.875"/>
    <n v="2"/>
    <n v="0"/>
    <n v="3877.3042500000001"/>
    <s v="northwest"/>
    <x v="0"/>
    <s v="male"/>
    <n v="4"/>
    <x v="0"/>
  </r>
  <r>
    <n v="126"/>
    <n v="26"/>
    <n v="28.785"/>
    <n v="0"/>
    <n v="0"/>
    <n v="3385.3991500000002"/>
    <s v="northeast"/>
    <x v="0"/>
    <s v="female"/>
    <n v="3"/>
    <x v="1"/>
  </r>
  <r>
    <n v="142"/>
    <n v="26"/>
    <n v="32.49"/>
    <n v="1"/>
    <n v="0"/>
    <n v="3490.5491000000002"/>
    <s v="northeast"/>
    <x v="0"/>
    <s v="male"/>
    <n v="4"/>
    <x v="0"/>
  </r>
  <r>
    <n v="187"/>
    <n v="26"/>
    <n v="29.92"/>
    <n v="2"/>
    <n v="0"/>
    <n v="3981.9767999999999"/>
    <s v="southeast"/>
    <x v="0"/>
    <s v="female"/>
    <n v="4"/>
    <x v="0"/>
  </r>
  <r>
    <n v="219"/>
    <n v="26"/>
    <n v="29.92"/>
    <n v="1"/>
    <n v="0"/>
    <n v="3392.9767999999999"/>
    <s v="southeast"/>
    <x v="0"/>
    <s v="female"/>
    <n v="4"/>
    <x v="0"/>
  </r>
  <r>
    <n v="322"/>
    <n v="26"/>
    <n v="29.64"/>
    <n v="4"/>
    <n v="0"/>
    <n v="24671.663339999999"/>
    <s v="northeast"/>
    <x v="0"/>
    <s v="female"/>
    <n v="3"/>
    <x v="1"/>
  </r>
  <r>
    <n v="374"/>
    <n v="26"/>
    <n v="32.9"/>
    <n v="2"/>
    <n v="1"/>
    <n v="36085.218999999997"/>
    <s v="southwest"/>
    <x v="1"/>
    <s v="male"/>
    <n v="4"/>
    <x v="0"/>
  </r>
  <r>
    <n v="389"/>
    <n v="26"/>
    <n v="22.61"/>
    <n v="0"/>
    <n v="0"/>
    <n v="3176.8159000000001"/>
    <s v="northwest"/>
    <x v="0"/>
    <s v="female"/>
    <n v="2"/>
    <x v="3"/>
  </r>
  <r>
    <n v="413"/>
    <n v="26"/>
    <n v="17.195"/>
    <n v="2"/>
    <n v="1"/>
    <n v="14455.644050000001"/>
    <s v="northeast"/>
    <x v="1"/>
    <s v="female"/>
    <n v="1"/>
    <x v="4"/>
  </r>
  <r>
    <n v="440"/>
    <n v="26"/>
    <n v="29.45"/>
    <n v="0"/>
    <n v="0"/>
    <n v="2897.3235"/>
    <s v="northeast"/>
    <x v="0"/>
    <s v="male"/>
    <n v="3"/>
    <x v="1"/>
  </r>
  <r>
    <n v="657"/>
    <n v="26"/>
    <n v="42.4"/>
    <n v="1"/>
    <n v="0"/>
    <n v="3410.3240000000001"/>
    <s v="southwest"/>
    <x v="0"/>
    <s v="female"/>
    <n v="6"/>
    <x v="5"/>
  </r>
  <r>
    <n v="696"/>
    <n v="26"/>
    <n v="40.185000000000002"/>
    <n v="0"/>
    <n v="0"/>
    <n v="3201.2451500000002"/>
    <s v="northwest"/>
    <x v="0"/>
    <s v="female"/>
    <n v="6"/>
    <x v="5"/>
  </r>
  <r>
    <n v="738"/>
    <n v="26"/>
    <n v="23.7"/>
    <n v="2"/>
    <n v="0"/>
    <n v="3484.3310000000001"/>
    <s v="southwest"/>
    <x v="0"/>
    <s v="male"/>
    <n v="2"/>
    <x v="3"/>
  </r>
  <r>
    <n v="822"/>
    <n v="26"/>
    <n v="17.670000000000002"/>
    <n v="0"/>
    <n v="0"/>
    <n v="2680.9493000000002"/>
    <s v="northwest"/>
    <x v="0"/>
    <s v="male"/>
    <n v="1"/>
    <x v="4"/>
  </r>
  <r>
    <n v="872"/>
    <n v="26"/>
    <n v="29.48"/>
    <n v="1"/>
    <n v="0"/>
    <n v="3392.3652000000002"/>
    <s v="southeast"/>
    <x v="0"/>
    <s v="female"/>
    <n v="3"/>
    <x v="1"/>
  </r>
  <r>
    <n v="903"/>
    <n v="26"/>
    <n v="27.265000000000001"/>
    <n v="3"/>
    <n v="0"/>
    <n v="4661.2863500000003"/>
    <s v="northeast"/>
    <x v="0"/>
    <s v="male"/>
    <n v="3"/>
    <x v="1"/>
  </r>
  <r>
    <n v="906"/>
    <n v="26"/>
    <n v="29.355"/>
    <n v="2"/>
    <n v="0"/>
    <n v="4564.1914500000003"/>
    <s v="northeast"/>
    <x v="0"/>
    <s v="female"/>
    <n v="3"/>
    <x v="1"/>
  </r>
  <r>
    <n v="931"/>
    <n v="26"/>
    <n v="46.53"/>
    <n v="1"/>
    <n v="0"/>
    <n v="2927.0646999999999"/>
    <s v="southeast"/>
    <x v="0"/>
    <s v="male"/>
    <n v="6"/>
    <x v="5"/>
  </r>
  <r>
    <n v="975"/>
    <n v="26"/>
    <n v="35.42"/>
    <n v="0"/>
    <n v="0"/>
    <n v="2322.6217999999999"/>
    <s v="southeast"/>
    <x v="0"/>
    <s v="male"/>
    <n v="5"/>
    <x v="2"/>
  </r>
  <r>
    <n v="978"/>
    <n v="26"/>
    <n v="29.15"/>
    <n v="1"/>
    <n v="0"/>
    <n v="2902.9065000000001"/>
    <s v="southeast"/>
    <x v="0"/>
    <s v="male"/>
    <n v="3"/>
    <x v="1"/>
  </r>
  <r>
    <n v="991"/>
    <n v="26"/>
    <n v="19.8"/>
    <n v="1"/>
    <n v="0"/>
    <n v="3378.91"/>
    <s v="southwest"/>
    <x v="0"/>
    <s v="female"/>
    <n v="2"/>
    <x v="3"/>
  </r>
  <r>
    <n v="1018"/>
    <n v="26"/>
    <n v="34.200000000000003"/>
    <n v="2"/>
    <n v="0"/>
    <n v="3987.9259999999999"/>
    <s v="southwest"/>
    <x v="0"/>
    <s v="female"/>
    <n v="4"/>
    <x v="0"/>
  </r>
  <r>
    <n v="1109"/>
    <n v="26"/>
    <n v="30"/>
    <n v="1"/>
    <n v="0"/>
    <n v="2904.0880000000002"/>
    <s v="southwest"/>
    <x v="0"/>
    <s v="male"/>
    <n v="4"/>
    <x v="0"/>
  </r>
  <r>
    <n v="1138"/>
    <n v="26"/>
    <n v="22.23"/>
    <n v="0"/>
    <n v="0"/>
    <n v="3176.2876999999999"/>
    <s v="northwest"/>
    <x v="0"/>
    <s v="female"/>
    <n v="2"/>
    <x v="3"/>
  </r>
  <r>
    <n v="1236"/>
    <n v="26"/>
    <n v="31.065000000000001"/>
    <n v="0"/>
    <n v="0"/>
    <n v="2699.56835"/>
    <s v="northwest"/>
    <x v="0"/>
    <s v="male"/>
    <n v="4"/>
    <x v="0"/>
  </r>
  <r>
    <n v="1271"/>
    <n v="26"/>
    <n v="33.914999999999999"/>
    <n v="1"/>
    <n v="0"/>
    <n v="3292.5298499999999"/>
    <s v="northwest"/>
    <x v="0"/>
    <s v="male"/>
    <n v="4"/>
    <x v="0"/>
  </r>
  <r>
    <n v="1275"/>
    <n v="26"/>
    <n v="27.06"/>
    <n v="0"/>
    <n v="1"/>
    <n v="17043.341400000001"/>
    <s v="southeast"/>
    <x v="1"/>
    <s v="male"/>
    <n v="3"/>
    <x v="1"/>
  </r>
  <r>
    <n v="15"/>
    <n v="27"/>
    <n v="42.13"/>
    <n v="0"/>
    <n v="1"/>
    <n v="39611.757700000002"/>
    <s v="southeast"/>
    <x v="1"/>
    <s v="male"/>
    <n v="6"/>
    <x v="5"/>
  </r>
  <r>
    <n v="71"/>
    <n v="27"/>
    <n v="24.75"/>
    <n v="0"/>
    <n v="1"/>
    <n v="16577.779500000001"/>
    <s v="southeast"/>
    <x v="1"/>
    <s v="female"/>
    <n v="2"/>
    <x v="3"/>
  </r>
  <r>
    <n v="170"/>
    <n v="27"/>
    <n v="18.905000000000001"/>
    <n v="3"/>
    <n v="0"/>
    <n v="4827.9049500000001"/>
    <s v="northeast"/>
    <x v="0"/>
    <s v="male"/>
    <n v="2"/>
    <x v="3"/>
  </r>
  <r>
    <n v="204"/>
    <n v="27"/>
    <n v="36.08"/>
    <n v="0"/>
    <n v="1"/>
    <n v="37133.898200000003"/>
    <s v="southeast"/>
    <x v="1"/>
    <s v="female"/>
    <n v="5"/>
    <x v="2"/>
  </r>
  <r>
    <n v="218"/>
    <n v="27"/>
    <n v="23.1"/>
    <n v="0"/>
    <n v="0"/>
    <n v="2483.7359999999999"/>
    <s v="southeast"/>
    <x v="0"/>
    <s v="male"/>
    <n v="2"/>
    <x v="3"/>
  </r>
  <r>
    <n v="254"/>
    <n v="27"/>
    <n v="30.3"/>
    <n v="3"/>
    <n v="0"/>
    <n v="4260.7439999999997"/>
    <s v="southwest"/>
    <x v="0"/>
    <s v="male"/>
    <n v="4"/>
    <x v="0"/>
  </r>
  <r>
    <n v="315"/>
    <n v="27"/>
    <n v="31.4"/>
    <n v="0"/>
    <n v="1"/>
    <n v="34838.873"/>
    <s v="southwest"/>
    <x v="1"/>
    <s v="female"/>
    <n v="4"/>
    <x v="0"/>
  </r>
  <r>
    <n v="327"/>
    <n v="27"/>
    <n v="23.21"/>
    <n v="1"/>
    <n v="0"/>
    <n v="3561.8888999999999"/>
    <s v="southeast"/>
    <x v="0"/>
    <s v="female"/>
    <n v="2"/>
    <x v="3"/>
  </r>
  <r>
    <n v="381"/>
    <n v="27"/>
    <n v="17.954999999999998"/>
    <n v="2"/>
    <n v="1"/>
    <n v="15006.579449999999"/>
    <s v="northeast"/>
    <x v="1"/>
    <s v="female"/>
    <n v="1"/>
    <x v="4"/>
  </r>
  <r>
    <n v="430"/>
    <n v="27"/>
    <n v="30.4"/>
    <n v="3"/>
    <n v="0"/>
    <n v="18804.752400000001"/>
    <s v="northwest"/>
    <x v="0"/>
    <s v="female"/>
    <n v="4"/>
    <x v="0"/>
  </r>
  <r>
    <n v="471"/>
    <n v="27"/>
    <n v="32.67"/>
    <n v="0"/>
    <n v="0"/>
    <n v="2497.0383000000002"/>
    <s v="southeast"/>
    <x v="0"/>
    <s v="male"/>
    <n v="4"/>
    <x v="0"/>
  </r>
  <r>
    <n v="512"/>
    <n v="27"/>
    <n v="33.659999999999997"/>
    <n v="0"/>
    <n v="0"/>
    <n v="2498.4144000000001"/>
    <s v="southeast"/>
    <x v="0"/>
    <s v="male"/>
    <n v="4"/>
    <x v="0"/>
  </r>
  <r>
    <n v="563"/>
    <n v="27"/>
    <n v="30.5"/>
    <n v="0"/>
    <n v="0"/>
    <n v="2494.0219999999999"/>
    <s v="southwest"/>
    <x v="0"/>
    <s v="male"/>
    <n v="4"/>
    <x v="0"/>
  </r>
  <r>
    <n v="607"/>
    <n v="27"/>
    <n v="25.175000000000001"/>
    <n v="0"/>
    <n v="0"/>
    <n v="3558.6202499999999"/>
    <s v="northeast"/>
    <x v="0"/>
    <s v="female"/>
    <n v="3"/>
    <x v="1"/>
  </r>
  <r>
    <n v="658"/>
    <n v="27"/>
    <n v="33.155000000000001"/>
    <n v="2"/>
    <n v="0"/>
    <n v="4058.71245"/>
    <s v="northwest"/>
    <x v="0"/>
    <s v="male"/>
    <n v="4"/>
    <x v="0"/>
  </r>
  <r>
    <n v="690"/>
    <n v="27"/>
    <n v="31.13"/>
    <n v="1"/>
    <n v="1"/>
    <n v="34806.467700000001"/>
    <s v="southeast"/>
    <x v="1"/>
    <s v="male"/>
    <n v="4"/>
    <x v="0"/>
  </r>
  <r>
    <n v="695"/>
    <n v="27"/>
    <n v="34.799999999999997"/>
    <n v="1"/>
    <n v="0"/>
    <n v="3577.9989999999998"/>
    <s v="southwest"/>
    <x v="0"/>
    <s v="female"/>
    <n v="4"/>
    <x v="0"/>
  </r>
  <r>
    <n v="742"/>
    <n v="27"/>
    <n v="29.15"/>
    <n v="0"/>
    <n v="1"/>
    <n v="18246.495500000001"/>
    <s v="southeast"/>
    <x v="1"/>
    <s v="male"/>
    <n v="3"/>
    <x v="1"/>
  </r>
  <r>
    <n v="764"/>
    <n v="27"/>
    <n v="26.03"/>
    <n v="0"/>
    <n v="0"/>
    <n v="3070.8087"/>
    <s v="northeast"/>
    <x v="0"/>
    <s v="male"/>
    <n v="3"/>
    <x v="1"/>
  </r>
  <r>
    <n v="796"/>
    <n v="27"/>
    <n v="28.5"/>
    <n v="0"/>
    <n v="1"/>
    <n v="18310.741999999998"/>
    <s v="northwest"/>
    <x v="1"/>
    <s v="male"/>
    <n v="3"/>
    <x v="1"/>
  </r>
  <r>
    <n v="849"/>
    <n v="27"/>
    <n v="24.1"/>
    <n v="0"/>
    <n v="0"/>
    <n v="2974.1260000000002"/>
    <s v="southwest"/>
    <x v="0"/>
    <s v="female"/>
    <n v="2"/>
    <x v="3"/>
  </r>
  <r>
    <n v="907"/>
    <n v="27"/>
    <n v="32.585000000000001"/>
    <n v="3"/>
    <n v="0"/>
    <n v="4846.9201499999999"/>
    <s v="northeast"/>
    <x v="0"/>
    <s v="male"/>
    <n v="4"/>
    <x v="0"/>
  </r>
  <r>
    <n v="984"/>
    <n v="27"/>
    <n v="30.59"/>
    <n v="1"/>
    <n v="0"/>
    <n v="16796.411940000002"/>
    <s v="northeast"/>
    <x v="0"/>
    <s v="female"/>
    <n v="4"/>
    <x v="0"/>
  </r>
  <r>
    <n v="995"/>
    <n v="27"/>
    <n v="20.045000000000002"/>
    <n v="3"/>
    <n v="1"/>
    <n v="16420.494549999999"/>
    <s v="northwest"/>
    <x v="1"/>
    <s v="female"/>
    <n v="2"/>
    <x v="3"/>
  </r>
  <r>
    <n v="1055"/>
    <n v="27"/>
    <n v="21.47"/>
    <n v="0"/>
    <n v="0"/>
    <n v="3353.4703"/>
    <s v="northwest"/>
    <x v="0"/>
    <s v="female"/>
    <n v="2"/>
    <x v="3"/>
  </r>
  <r>
    <n v="1124"/>
    <n v="27"/>
    <n v="32.395000000000003"/>
    <n v="1"/>
    <n v="0"/>
    <n v="18903.491409999999"/>
    <s v="northeast"/>
    <x v="0"/>
    <s v="female"/>
    <n v="4"/>
    <x v="0"/>
  </r>
  <r>
    <n v="1132"/>
    <n v="27"/>
    <n v="45.9"/>
    <n v="2"/>
    <n v="0"/>
    <n v="3693.4279999999999"/>
    <s v="southwest"/>
    <x v="0"/>
    <s v="male"/>
    <n v="6"/>
    <x v="5"/>
  </r>
  <r>
    <n v="1215"/>
    <n v="27"/>
    <n v="31.254999999999999"/>
    <n v="1"/>
    <n v="0"/>
    <n v="3956.0714499999999"/>
    <s v="northwest"/>
    <x v="0"/>
    <s v="female"/>
    <n v="4"/>
    <x v="0"/>
  </r>
  <r>
    <n v="3"/>
    <n v="28"/>
    <n v="33"/>
    <n v="3"/>
    <n v="0"/>
    <n v="4449.4620000000004"/>
    <s v="southeast"/>
    <x v="0"/>
    <s v="male"/>
    <n v="4"/>
    <x v="0"/>
  </r>
  <r>
    <n v="35"/>
    <n v="28"/>
    <n v="36.4"/>
    <n v="1"/>
    <n v="1"/>
    <n v="51194.559139999998"/>
    <s v="southwest"/>
    <x v="1"/>
    <s v="male"/>
    <n v="5"/>
    <x v="2"/>
  </r>
  <r>
    <n v="48"/>
    <n v="28"/>
    <n v="34.770000000000003"/>
    <n v="0"/>
    <n v="0"/>
    <n v="3556.9223000000002"/>
    <s v="northwest"/>
    <x v="0"/>
    <s v="female"/>
    <n v="4"/>
    <x v="0"/>
  </r>
  <r>
    <n v="64"/>
    <n v="28"/>
    <n v="25.934999999999999"/>
    <n v="1"/>
    <n v="0"/>
    <n v="4133.6416499999996"/>
    <s v="northwest"/>
    <x v="0"/>
    <s v="female"/>
    <n v="3"/>
    <x v="1"/>
  </r>
  <r>
    <n v="70"/>
    <n v="28"/>
    <n v="23.98"/>
    <n v="3"/>
    <n v="1"/>
    <n v="17663.144199999999"/>
    <s v="southeast"/>
    <x v="1"/>
    <s v="male"/>
    <n v="2"/>
    <x v="3"/>
  </r>
  <r>
    <n v="96"/>
    <n v="28"/>
    <n v="37.619999999999997"/>
    <n v="1"/>
    <n v="0"/>
    <n v="3766.8838000000001"/>
    <s v="southeast"/>
    <x v="0"/>
    <s v="female"/>
    <n v="5"/>
    <x v="2"/>
  </r>
  <r>
    <n v="206"/>
    <n v="28"/>
    <n v="28.88"/>
    <n v="1"/>
    <n v="0"/>
    <n v="4337.7352000000001"/>
    <s v="northeast"/>
    <x v="0"/>
    <s v="female"/>
    <n v="3"/>
    <x v="1"/>
  </r>
  <r>
    <n v="227"/>
    <n v="28"/>
    <n v="38.06"/>
    <n v="0"/>
    <n v="0"/>
    <n v="2689.4953999999998"/>
    <s v="southeast"/>
    <x v="0"/>
    <s v="male"/>
    <n v="5"/>
    <x v="2"/>
  </r>
  <r>
    <n v="291"/>
    <n v="28"/>
    <n v="33.4"/>
    <n v="0"/>
    <n v="0"/>
    <n v="3172.018"/>
    <s v="southwest"/>
    <x v="0"/>
    <s v="female"/>
    <n v="4"/>
    <x v="0"/>
  </r>
  <r>
    <n v="304"/>
    <n v="28"/>
    <n v="33"/>
    <n v="2"/>
    <n v="0"/>
    <n v="4349.4620000000004"/>
    <s v="southeast"/>
    <x v="0"/>
    <s v="female"/>
    <n v="4"/>
    <x v="0"/>
  </r>
  <r>
    <n v="307"/>
    <n v="28"/>
    <n v="27.5"/>
    <n v="2"/>
    <n v="0"/>
    <n v="20177.671129999999"/>
    <s v="southwest"/>
    <x v="0"/>
    <s v="female"/>
    <n v="3"/>
    <x v="1"/>
  </r>
  <r>
    <n v="469"/>
    <n v="28"/>
    <n v="24.32"/>
    <n v="1"/>
    <n v="0"/>
    <n v="23288.928400000001"/>
    <s v="northeast"/>
    <x v="0"/>
    <s v="female"/>
    <n v="2"/>
    <x v="3"/>
  </r>
  <r>
    <n v="547"/>
    <n v="28"/>
    <n v="35.435000000000002"/>
    <n v="0"/>
    <n v="0"/>
    <n v="3268.84665"/>
    <s v="northeast"/>
    <x v="0"/>
    <s v="male"/>
    <n v="5"/>
    <x v="2"/>
  </r>
  <r>
    <n v="556"/>
    <n v="28"/>
    <n v="23.8"/>
    <n v="2"/>
    <n v="0"/>
    <n v="3847.674"/>
    <s v="southwest"/>
    <x v="0"/>
    <s v="male"/>
    <n v="2"/>
    <x v="3"/>
  </r>
  <r>
    <n v="609"/>
    <n v="28"/>
    <n v="26.98"/>
    <n v="2"/>
    <n v="0"/>
    <n v="4435.0941999999995"/>
    <s v="northeast"/>
    <x v="0"/>
    <s v="male"/>
    <n v="3"/>
    <x v="1"/>
  </r>
  <r>
    <n v="750"/>
    <n v="28"/>
    <n v="30.875"/>
    <n v="0"/>
    <n v="0"/>
    <n v="3062.5082499999999"/>
    <s v="northwest"/>
    <x v="0"/>
    <s v="male"/>
    <n v="4"/>
    <x v="0"/>
  </r>
  <r>
    <n v="814"/>
    <n v="28"/>
    <n v="22.515000000000001"/>
    <n v="2"/>
    <n v="0"/>
    <n v="4428.8878500000001"/>
    <s v="northeast"/>
    <x v="0"/>
    <s v="male"/>
    <n v="2"/>
    <x v="3"/>
  </r>
  <r>
    <n v="833"/>
    <n v="28"/>
    <n v="23.844999999999999"/>
    <n v="2"/>
    <n v="0"/>
    <n v="4719.7365499999996"/>
    <s v="northwest"/>
    <x v="0"/>
    <s v="female"/>
    <n v="2"/>
    <x v="3"/>
  </r>
  <r>
    <n v="1007"/>
    <n v="28"/>
    <n v="29.26"/>
    <n v="2"/>
    <n v="0"/>
    <n v="4438.2633999999998"/>
    <s v="northeast"/>
    <x v="0"/>
    <s v="male"/>
    <n v="3"/>
    <x v="1"/>
  </r>
  <r>
    <n v="1044"/>
    <n v="28"/>
    <n v="25.8"/>
    <n v="0"/>
    <n v="0"/>
    <n v="3161.4540000000002"/>
    <s v="southwest"/>
    <x v="0"/>
    <s v="female"/>
    <n v="3"/>
    <x v="1"/>
  </r>
  <r>
    <n v="1079"/>
    <n v="28"/>
    <n v="31.68"/>
    <n v="0"/>
    <n v="1"/>
    <n v="34672.147199999999"/>
    <s v="southeast"/>
    <x v="1"/>
    <s v="male"/>
    <n v="4"/>
    <x v="0"/>
  </r>
  <r>
    <n v="1114"/>
    <n v="28"/>
    <n v="26.315000000000001"/>
    <n v="3"/>
    <n v="0"/>
    <n v="5312.1698500000002"/>
    <s v="northwest"/>
    <x v="0"/>
    <s v="female"/>
    <n v="3"/>
    <x v="1"/>
  </r>
  <r>
    <n v="1135"/>
    <n v="28"/>
    <n v="33.82"/>
    <n v="0"/>
    <n v="0"/>
    <n v="19673.335729999999"/>
    <s v="northwest"/>
    <x v="0"/>
    <s v="male"/>
    <n v="4"/>
    <x v="0"/>
  </r>
  <r>
    <n v="1244"/>
    <n v="28"/>
    <n v="33.11"/>
    <n v="0"/>
    <n v="0"/>
    <n v="3171.6149"/>
    <s v="southeast"/>
    <x v="0"/>
    <s v="female"/>
    <n v="4"/>
    <x v="0"/>
  </r>
  <r>
    <n v="1246"/>
    <n v="28"/>
    <n v="24.3"/>
    <n v="5"/>
    <n v="0"/>
    <n v="5615.3689999999997"/>
    <s v="southwest"/>
    <x v="0"/>
    <s v="male"/>
    <n v="2"/>
    <x v="3"/>
  </r>
  <r>
    <n v="1262"/>
    <n v="28"/>
    <n v="37.1"/>
    <n v="1"/>
    <n v="0"/>
    <n v="3277.1610000000001"/>
    <s v="southwest"/>
    <x v="0"/>
    <s v="male"/>
    <n v="5"/>
    <x v="2"/>
  </r>
  <r>
    <n v="1287"/>
    <n v="28"/>
    <n v="17.29"/>
    <n v="0"/>
    <n v="0"/>
    <n v="3732.6251000000002"/>
    <s v="northeast"/>
    <x v="0"/>
    <s v="female"/>
    <n v="1"/>
    <x v="4"/>
  </r>
  <r>
    <n v="1298"/>
    <n v="28"/>
    <n v="26.51"/>
    <n v="2"/>
    <n v="0"/>
    <n v="4340.4408999999996"/>
    <s v="southeast"/>
    <x v="0"/>
    <s v="female"/>
    <n v="3"/>
    <x v="1"/>
  </r>
  <r>
    <n v="77"/>
    <n v="29"/>
    <n v="29.59"/>
    <n v="1"/>
    <n v="0"/>
    <n v="3947.4131000000002"/>
    <s v="southeast"/>
    <x v="0"/>
    <s v="female"/>
    <n v="3"/>
    <x v="1"/>
  </r>
  <r>
    <n v="109"/>
    <n v="29"/>
    <n v="27.94"/>
    <n v="0"/>
    <n v="0"/>
    <n v="2867.1196"/>
    <s v="southeast"/>
    <x v="0"/>
    <s v="male"/>
    <n v="3"/>
    <x v="1"/>
  </r>
  <r>
    <n v="118"/>
    <n v="29"/>
    <n v="27.94"/>
    <n v="1"/>
    <n v="1"/>
    <n v="19107.779600000002"/>
    <s v="southeast"/>
    <x v="1"/>
    <s v="female"/>
    <n v="3"/>
    <x v="1"/>
  </r>
  <r>
    <n v="144"/>
    <n v="29"/>
    <n v="29.734999999999999"/>
    <n v="2"/>
    <n v="0"/>
    <n v="18157.876"/>
    <s v="northwest"/>
    <x v="0"/>
    <s v="male"/>
    <n v="3"/>
    <x v="1"/>
  </r>
  <r>
    <n v="146"/>
    <n v="29"/>
    <n v="38.83"/>
    <n v="3"/>
    <n v="0"/>
    <n v="5138.2566999999999"/>
    <s v="southeast"/>
    <x v="0"/>
    <s v="female"/>
    <n v="5"/>
    <x v="2"/>
  </r>
  <r>
    <n v="190"/>
    <n v="29"/>
    <n v="32.11"/>
    <n v="2"/>
    <n v="0"/>
    <n v="4922.9159"/>
    <s v="northwest"/>
    <x v="0"/>
    <s v="female"/>
    <n v="4"/>
    <x v="0"/>
  </r>
  <r>
    <n v="250"/>
    <n v="29"/>
    <n v="28.975000000000001"/>
    <n v="1"/>
    <n v="0"/>
    <n v="4040.55825"/>
    <s v="northeast"/>
    <x v="0"/>
    <s v="male"/>
    <n v="3"/>
    <x v="1"/>
  </r>
  <r>
    <n v="292"/>
    <n v="29"/>
    <n v="29.64"/>
    <n v="1"/>
    <n v="0"/>
    <n v="20277.807509999999"/>
    <s v="northeast"/>
    <x v="0"/>
    <s v="male"/>
    <n v="3"/>
    <x v="1"/>
  </r>
  <r>
    <n v="306"/>
    <n v="29"/>
    <n v="33.344999999999999"/>
    <n v="2"/>
    <n v="0"/>
    <n v="19442.353500000001"/>
    <s v="northwest"/>
    <x v="0"/>
    <s v="male"/>
    <n v="4"/>
    <x v="0"/>
  </r>
  <r>
    <n v="325"/>
    <n v="29"/>
    <n v="27.2"/>
    <n v="0"/>
    <n v="0"/>
    <n v="2866.0909999999999"/>
    <s v="southwest"/>
    <x v="0"/>
    <s v="male"/>
    <n v="3"/>
    <x v="1"/>
  </r>
  <r>
    <n v="432"/>
    <n v="29"/>
    <n v="20.234999999999999"/>
    <n v="2"/>
    <n v="0"/>
    <n v="4906.4096499999996"/>
    <s v="northwest"/>
    <x v="0"/>
    <s v="female"/>
    <n v="2"/>
    <x v="3"/>
  </r>
  <r>
    <n v="501"/>
    <n v="29"/>
    <n v="34.4"/>
    <n v="0"/>
    <n v="1"/>
    <n v="36197.699000000001"/>
    <s v="southwest"/>
    <x v="1"/>
    <s v="male"/>
    <n v="4"/>
    <x v="0"/>
  </r>
  <r>
    <n v="626"/>
    <n v="29"/>
    <n v="26.03"/>
    <n v="0"/>
    <n v="0"/>
    <n v="3736.4647"/>
    <s v="northwest"/>
    <x v="0"/>
    <s v="female"/>
    <n v="3"/>
    <x v="1"/>
  </r>
  <r>
    <n v="633"/>
    <n v="29"/>
    <n v="35.53"/>
    <n v="0"/>
    <n v="0"/>
    <n v="3366.6696999999999"/>
    <s v="southeast"/>
    <x v="0"/>
    <s v="female"/>
    <n v="5"/>
    <x v="2"/>
  </r>
  <r>
    <n v="672"/>
    <n v="29"/>
    <n v="31.16"/>
    <n v="0"/>
    <n v="0"/>
    <n v="3943.5954000000002"/>
    <s v="northeast"/>
    <x v="0"/>
    <s v="female"/>
    <n v="4"/>
    <x v="0"/>
  </r>
  <r>
    <n v="728"/>
    <n v="29"/>
    <n v="21.754999999999999"/>
    <n v="1"/>
    <n v="1"/>
    <n v="16657.71745"/>
    <s v="northeast"/>
    <x v="1"/>
    <s v="female"/>
    <n v="2"/>
    <x v="3"/>
  </r>
  <r>
    <n v="740"/>
    <n v="29"/>
    <n v="35.5"/>
    <n v="2"/>
    <n v="1"/>
    <n v="44585.455869999998"/>
    <s v="southwest"/>
    <x v="1"/>
    <s v="male"/>
    <n v="5"/>
    <x v="2"/>
  </r>
  <r>
    <n v="789"/>
    <n v="29"/>
    <n v="22.515000000000001"/>
    <n v="3"/>
    <n v="0"/>
    <n v="5209.5788499999999"/>
    <s v="northeast"/>
    <x v="0"/>
    <s v="male"/>
    <n v="2"/>
    <x v="3"/>
  </r>
  <r>
    <n v="962"/>
    <n v="29"/>
    <n v="25.9"/>
    <n v="0"/>
    <n v="0"/>
    <n v="3353.2840000000001"/>
    <s v="southwest"/>
    <x v="0"/>
    <s v="female"/>
    <n v="3"/>
    <x v="1"/>
  </r>
  <r>
    <n v="976"/>
    <n v="29"/>
    <n v="22.895"/>
    <n v="0"/>
    <n v="1"/>
    <n v="16138.762049999999"/>
    <s v="northeast"/>
    <x v="1"/>
    <s v="male"/>
    <n v="2"/>
    <x v="3"/>
  </r>
  <r>
    <n v="1006"/>
    <n v="29"/>
    <n v="31.73"/>
    <n v="2"/>
    <n v="0"/>
    <n v="4433.3877000000002"/>
    <s v="northwest"/>
    <x v="0"/>
    <s v="male"/>
    <n v="4"/>
    <x v="0"/>
  </r>
  <r>
    <n v="1065"/>
    <n v="29"/>
    <n v="25.6"/>
    <n v="4"/>
    <n v="0"/>
    <n v="5708.8670000000002"/>
    <s v="southwest"/>
    <x v="0"/>
    <s v="female"/>
    <n v="3"/>
    <x v="1"/>
  </r>
  <r>
    <n v="1103"/>
    <n v="29"/>
    <n v="38.94"/>
    <n v="1"/>
    <n v="0"/>
    <n v="3471.4096"/>
    <s v="southeast"/>
    <x v="0"/>
    <s v="male"/>
    <n v="5"/>
    <x v="2"/>
  </r>
  <r>
    <n v="1168"/>
    <n v="29"/>
    <n v="24.6"/>
    <n v="2"/>
    <n v="0"/>
    <n v="4529.4769999999999"/>
    <s v="southwest"/>
    <x v="0"/>
    <s v="female"/>
    <n v="2"/>
    <x v="3"/>
  </r>
  <r>
    <n v="1175"/>
    <n v="29"/>
    <n v="32.11"/>
    <n v="2"/>
    <n v="0"/>
    <n v="4433.9159"/>
    <s v="northwest"/>
    <x v="0"/>
    <s v="male"/>
    <n v="4"/>
    <x v="0"/>
  </r>
  <r>
    <n v="1218"/>
    <n v="29"/>
    <n v="37.29"/>
    <n v="2"/>
    <n v="0"/>
    <n v="4058.1161000000002"/>
    <s v="southeast"/>
    <x v="0"/>
    <s v="male"/>
    <n v="5"/>
    <x v="2"/>
  </r>
  <r>
    <n v="1307"/>
    <n v="29"/>
    <n v="21.85"/>
    <n v="0"/>
    <n v="1"/>
    <n v="16115.3045"/>
    <s v="northeast"/>
    <x v="1"/>
    <s v="female"/>
    <n v="2"/>
    <x v="3"/>
  </r>
  <r>
    <n v="20"/>
    <n v="30"/>
    <n v="35.299999999999997"/>
    <n v="0"/>
    <n v="1"/>
    <n v="36837.466999999997"/>
    <s v="southwest"/>
    <x v="1"/>
    <s v="male"/>
    <n v="5"/>
    <x v="2"/>
  </r>
  <r>
    <n v="22"/>
    <n v="30"/>
    <n v="32.4"/>
    <n v="1"/>
    <n v="0"/>
    <n v="4149.7359999999999"/>
    <s v="southwest"/>
    <x v="0"/>
    <s v="female"/>
    <n v="4"/>
    <x v="0"/>
  </r>
  <r>
    <n v="102"/>
    <n v="30"/>
    <n v="25.46"/>
    <n v="0"/>
    <n v="0"/>
    <n v="3645.0893999999998"/>
    <s v="northeast"/>
    <x v="0"/>
    <s v="male"/>
    <n v="3"/>
    <x v="1"/>
  </r>
  <r>
    <n v="145"/>
    <n v="30"/>
    <n v="28.69"/>
    <n v="3"/>
    <n v="1"/>
    <n v="20745.989099999999"/>
    <s v="northwest"/>
    <x v="1"/>
    <s v="male"/>
    <n v="3"/>
    <x v="1"/>
  </r>
  <r>
    <n v="159"/>
    <n v="30"/>
    <n v="35.53"/>
    <n v="0"/>
    <n v="1"/>
    <n v="36950.256699999998"/>
    <s v="southeast"/>
    <x v="1"/>
    <s v="male"/>
    <n v="5"/>
    <x v="2"/>
  </r>
  <r>
    <n v="188"/>
    <n v="30"/>
    <n v="30.9"/>
    <n v="3"/>
    <n v="0"/>
    <n v="5325.6509999999998"/>
    <s v="southwest"/>
    <x v="0"/>
    <s v="female"/>
    <n v="4"/>
    <x v="0"/>
  </r>
  <r>
    <n v="283"/>
    <n v="30"/>
    <n v="27.645"/>
    <n v="1"/>
    <n v="0"/>
    <n v="4237.12655"/>
    <s v="northeast"/>
    <x v="0"/>
    <s v="male"/>
    <n v="3"/>
    <x v="1"/>
  </r>
  <r>
    <n v="308"/>
    <n v="30"/>
    <n v="33.33"/>
    <n v="1"/>
    <n v="0"/>
    <n v="4151.0286999999998"/>
    <s v="southeast"/>
    <x v="0"/>
    <s v="female"/>
    <n v="4"/>
    <x v="0"/>
  </r>
  <r>
    <n v="353"/>
    <n v="30"/>
    <n v="27.7"/>
    <n v="0"/>
    <n v="0"/>
    <n v="3554.203"/>
    <s v="southwest"/>
    <x v="0"/>
    <s v="female"/>
    <n v="3"/>
    <x v="1"/>
  </r>
  <r>
    <n v="452"/>
    <n v="30"/>
    <n v="24.13"/>
    <n v="1"/>
    <n v="0"/>
    <n v="4032.2406999999998"/>
    <s v="northwest"/>
    <x v="0"/>
    <s v="male"/>
    <n v="2"/>
    <x v="3"/>
  </r>
  <r>
    <n v="466"/>
    <n v="30"/>
    <n v="28.38"/>
    <n v="1"/>
    <n v="1"/>
    <n v="19521.968199999999"/>
    <s v="southeast"/>
    <x v="1"/>
    <s v="female"/>
    <n v="3"/>
    <x v="1"/>
  </r>
  <r>
    <n v="573"/>
    <n v="30"/>
    <n v="43.12"/>
    <n v="2"/>
    <n v="0"/>
    <n v="4753.6368000000002"/>
    <s v="southeast"/>
    <x v="0"/>
    <s v="female"/>
    <n v="6"/>
    <x v="5"/>
  </r>
  <r>
    <n v="610"/>
    <n v="30"/>
    <n v="37.799999999999997"/>
    <n v="2"/>
    <n v="1"/>
    <n v="39241.442000000003"/>
    <s v="southwest"/>
    <x v="1"/>
    <s v="male"/>
    <n v="5"/>
    <x v="2"/>
  </r>
  <r>
    <n v="621"/>
    <n v="30"/>
    <n v="31.4"/>
    <n v="1"/>
    <n v="0"/>
    <n v="3659.346"/>
    <s v="southwest"/>
    <x v="0"/>
    <s v="male"/>
    <n v="4"/>
    <x v="0"/>
  </r>
  <r>
    <n v="671"/>
    <n v="30"/>
    <n v="31.57"/>
    <n v="3"/>
    <n v="0"/>
    <n v="4837.5823"/>
    <s v="southeast"/>
    <x v="0"/>
    <s v="male"/>
    <n v="4"/>
    <x v="0"/>
  </r>
  <r>
    <n v="726"/>
    <n v="30"/>
    <n v="39.049999999999997"/>
    <n v="3"/>
    <n v="1"/>
    <n v="40932.429499999998"/>
    <s v="southeast"/>
    <x v="1"/>
    <s v="female"/>
    <n v="5"/>
    <x v="2"/>
  </r>
  <r>
    <n v="759"/>
    <n v="30"/>
    <n v="37.43"/>
    <n v="3"/>
    <n v="0"/>
    <n v="5428.7277000000004"/>
    <s v="northeast"/>
    <x v="0"/>
    <s v="male"/>
    <n v="5"/>
    <x v="2"/>
  </r>
  <r>
    <n v="781"/>
    <n v="30"/>
    <n v="24.4"/>
    <n v="3"/>
    <n v="1"/>
    <n v="18259.216"/>
    <s v="southwest"/>
    <x v="1"/>
    <s v="male"/>
    <n v="2"/>
    <x v="3"/>
  </r>
  <r>
    <n v="797"/>
    <n v="30"/>
    <n v="44.22"/>
    <n v="2"/>
    <n v="0"/>
    <n v="4266.1657999999998"/>
    <s v="southeast"/>
    <x v="0"/>
    <s v="male"/>
    <n v="6"/>
    <x v="5"/>
  </r>
  <r>
    <n v="798"/>
    <n v="30"/>
    <n v="22.895"/>
    <n v="1"/>
    <n v="0"/>
    <n v="4719.52405"/>
    <s v="northeast"/>
    <x v="0"/>
    <s v="female"/>
    <n v="2"/>
    <x v="3"/>
  </r>
  <r>
    <n v="953"/>
    <n v="30"/>
    <n v="28.405000000000001"/>
    <n v="1"/>
    <n v="0"/>
    <n v="4527.1829500000003"/>
    <s v="northwest"/>
    <x v="0"/>
    <s v="female"/>
    <n v="3"/>
    <x v="1"/>
  </r>
  <r>
    <n v="1001"/>
    <n v="30"/>
    <n v="22.99"/>
    <n v="2"/>
    <n v="1"/>
    <n v="17361.766100000001"/>
    <s v="northwest"/>
    <x v="1"/>
    <s v="male"/>
    <n v="2"/>
    <x v="3"/>
  </r>
  <r>
    <n v="1033"/>
    <n v="30"/>
    <n v="27.93"/>
    <n v="0"/>
    <n v="0"/>
    <n v="4137.5227000000004"/>
    <s v="northeast"/>
    <x v="0"/>
    <s v="female"/>
    <n v="3"/>
    <x v="1"/>
  </r>
  <r>
    <n v="1120"/>
    <n v="30"/>
    <n v="19.95"/>
    <n v="3"/>
    <n v="0"/>
    <n v="5693.4305000000004"/>
    <s v="northwest"/>
    <x v="0"/>
    <s v="female"/>
    <n v="2"/>
    <x v="3"/>
  </r>
  <r>
    <n v="1163"/>
    <n v="30"/>
    <n v="38.83"/>
    <n v="1"/>
    <n v="0"/>
    <n v="18963.171920000001"/>
    <s v="southeast"/>
    <x v="0"/>
    <s v="male"/>
    <n v="5"/>
    <x v="2"/>
  </r>
  <r>
    <n v="1221"/>
    <n v="30"/>
    <n v="21.945"/>
    <n v="1"/>
    <n v="0"/>
    <n v="4718.2035500000002"/>
    <s v="northeast"/>
    <x v="0"/>
    <s v="female"/>
    <n v="2"/>
    <x v="3"/>
  </r>
  <r>
    <n v="1315"/>
    <n v="30"/>
    <n v="23.655000000000001"/>
    <n v="3"/>
    <n v="1"/>
    <n v="18765.87545"/>
    <s v="northwest"/>
    <x v="1"/>
    <s v="female"/>
    <n v="2"/>
    <x v="3"/>
  </r>
  <r>
    <n v="6"/>
    <n v="31"/>
    <n v="25.74"/>
    <n v="0"/>
    <n v="0"/>
    <n v="3756.6215999999999"/>
    <s v="southeast"/>
    <x v="0"/>
    <s v="female"/>
    <n v="3"/>
    <x v="1"/>
  </r>
  <r>
    <n v="30"/>
    <n v="31"/>
    <n v="36.299999999999997"/>
    <n v="2"/>
    <n v="1"/>
    <n v="38711"/>
    <s v="southwest"/>
    <x v="1"/>
    <s v="male"/>
    <n v="5"/>
    <x v="2"/>
  </r>
  <r>
    <n v="42"/>
    <n v="31"/>
    <n v="36.630000000000003"/>
    <n v="2"/>
    <n v="0"/>
    <n v="4949.7587000000003"/>
    <s v="southeast"/>
    <x v="0"/>
    <s v="female"/>
    <n v="5"/>
    <x v="2"/>
  </r>
  <r>
    <n v="72"/>
    <n v="31"/>
    <n v="28.5"/>
    <n v="5"/>
    <n v="0"/>
    <n v="6799.4579999999996"/>
    <s v="northeast"/>
    <x v="0"/>
    <s v="male"/>
    <n v="3"/>
    <x v="1"/>
  </r>
  <r>
    <n v="81"/>
    <n v="31"/>
    <n v="26.885000000000002"/>
    <n v="1"/>
    <n v="0"/>
    <n v="4441.2131499999996"/>
    <s v="northeast"/>
    <x v="0"/>
    <s v="male"/>
    <n v="3"/>
    <x v="1"/>
  </r>
  <r>
    <n v="238"/>
    <n v="31"/>
    <n v="38.39"/>
    <n v="2"/>
    <n v="0"/>
    <n v="4463.2051000000001"/>
    <s v="southeast"/>
    <x v="0"/>
    <s v="male"/>
    <n v="5"/>
    <x v="2"/>
  </r>
  <r>
    <n v="299"/>
    <n v="31"/>
    <n v="34.39"/>
    <n v="3"/>
    <n v="1"/>
    <n v="38746.355100000001"/>
    <s v="northwest"/>
    <x v="1"/>
    <s v="male"/>
    <n v="4"/>
    <x v="0"/>
  </r>
  <r>
    <n v="405"/>
    <n v="31"/>
    <n v="20.399999999999999"/>
    <n v="0"/>
    <n v="0"/>
    <n v="3260.1990000000001"/>
    <s v="southwest"/>
    <x v="0"/>
    <s v="male"/>
    <n v="2"/>
    <x v="3"/>
  </r>
  <r>
    <n v="435"/>
    <n v="31"/>
    <n v="28.594999999999999"/>
    <n v="1"/>
    <n v="0"/>
    <n v="4243.5900499999998"/>
    <s v="northwest"/>
    <x v="0"/>
    <s v="male"/>
    <n v="3"/>
    <x v="1"/>
  </r>
  <r>
    <n v="441"/>
    <n v="31"/>
    <n v="32.68"/>
    <n v="1"/>
    <n v="0"/>
    <n v="4738.2682000000004"/>
    <s v="northwest"/>
    <x v="0"/>
    <s v="female"/>
    <n v="4"/>
    <x v="0"/>
  </r>
  <r>
    <n v="486"/>
    <n v="31"/>
    <n v="31.065000000000001"/>
    <n v="0"/>
    <n v="0"/>
    <n v="4347.0233500000004"/>
    <s v="northeast"/>
    <x v="0"/>
    <s v="female"/>
    <n v="4"/>
    <x v="0"/>
  </r>
  <r>
    <n v="497"/>
    <n v="31"/>
    <n v="23.6"/>
    <n v="2"/>
    <n v="0"/>
    <n v="4931.6469999999999"/>
    <s v="southwest"/>
    <x v="0"/>
    <s v="female"/>
    <n v="2"/>
    <x v="3"/>
  </r>
  <r>
    <n v="520"/>
    <n v="31"/>
    <n v="30.875"/>
    <n v="0"/>
    <n v="0"/>
    <n v="3857.7592500000001"/>
    <s v="northeast"/>
    <x v="0"/>
    <s v="male"/>
    <n v="4"/>
    <x v="0"/>
  </r>
  <r>
    <n v="571"/>
    <n v="31"/>
    <n v="29.1"/>
    <n v="0"/>
    <n v="0"/>
    <n v="3761.2919999999999"/>
    <s v="southwest"/>
    <x v="0"/>
    <s v="female"/>
    <n v="3"/>
    <x v="1"/>
  </r>
  <r>
    <n v="578"/>
    <n v="31"/>
    <n v="38.094999999999999"/>
    <n v="1"/>
    <n v="1"/>
    <n v="58571.074480000003"/>
    <s v="northeast"/>
    <x v="1"/>
    <s v="female"/>
    <n v="5"/>
    <x v="2"/>
  </r>
  <r>
    <n v="709"/>
    <n v="31"/>
    <n v="30.495000000000001"/>
    <n v="3"/>
    <n v="0"/>
    <n v="6113.2310500000003"/>
    <s v="northeast"/>
    <x v="0"/>
    <s v="female"/>
    <n v="4"/>
    <x v="0"/>
  </r>
  <r>
    <n v="744"/>
    <n v="31"/>
    <n v="26.62"/>
    <n v="0"/>
    <n v="0"/>
    <n v="3757.8447999999999"/>
    <s v="southeast"/>
    <x v="0"/>
    <s v="female"/>
    <n v="3"/>
    <x v="1"/>
  </r>
  <r>
    <n v="756"/>
    <n v="31"/>
    <n v="27.645"/>
    <n v="2"/>
    <n v="0"/>
    <n v="5031.26955"/>
    <s v="northeast"/>
    <x v="0"/>
    <s v="male"/>
    <n v="3"/>
    <x v="1"/>
  </r>
  <r>
    <n v="785"/>
    <n v="31"/>
    <n v="29.26"/>
    <n v="1"/>
    <n v="0"/>
    <n v="4350.5144"/>
    <s v="southeast"/>
    <x v="0"/>
    <s v="female"/>
    <n v="3"/>
    <x v="1"/>
  </r>
  <r>
    <n v="956"/>
    <n v="31"/>
    <n v="39.49"/>
    <n v="1"/>
    <n v="0"/>
    <n v="3875.7341000000001"/>
    <s v="southeast"/>
    <x v="0"/>
    <s v="male"/>
    <n v="5"/>
    <x v="2"/>
  </r>
  <r>
    <n v="983"/>
    <n v="31"/>
    <n v="25.9"/>
    <n v="3"/>
    <n v="1"/>
    <n v="19199.944"/>
    <s v="southwest"/>
    <x v="1"/>
    <s v="male"/>
    <n v="3"/>
    <x v="1"/>
  </r>
  <r>
    <n v="1180"/>
    <n v="31"/>
    <n v="29.81"/>
    <n v="0"/>
    <n v="1"/>
    <n v="19350.368900000001"/>
    <s v="southeast"/>
    <x v="1"/>
    <s v="male"/>
    <n v="3"/>
    <x v="1"/>
  </r>
  <r>
    <n v="1191"/>
    <n v="31"/>
    <n v="32.774999999999999"/>
    <n v="2"/>
    <n v="0"/>
    <n v="5327.4002499999997"/>
    <s v="northwest"/>
    <x v="0"/>
    <s v="female"/>
    <n v="4"/>
    <x v="0"/>
  </r>
  <r>
    <n v="1195"/>
    <n v="31"/>
    <n v="21.754999999999999"/>
    <n v="0"/>
    <n v="0"/>
    <n v="4134.0824499999999"/>
    <s v="northwest"/>
    <x v="0"/>
    <s v="female"/>
    <n v="2"/>
    <x v="3"/>
  </r>
  <r>
    <n v="1200"/>
    <n v="31"/>
    <n v="25.8"/>
    <n v="2"/>
    <n v="0"/>
    <n v="4934.7049999999999"/>
    <s v="southwest"/>
    <x v="0"/>
    <s v="female"/>
    <n v="3"/>
    <x v="1"/>
  </r>
  <r>
    <n v="1321"/>
    <n v="31"/>
    <n v="31.065000000000001"/>
    <n v="3"/>
    <n v="0"/>
    <n v="5425.0233500000004"/>
    <s v="northwest"/>
    <x v="0"/>
    <s v="male"/>
    <n v="4"/>
    <x v="0"/>
  </r>
  <r>
    <n v="1325"/>
    <n v="31"/>
    <n v="25.934999999999999"/>
    <n v="1"/>
    <n v="0"/>
    <n v="4239.8926499999998"/>
    <s v="northwest"/>
    <x v="0"/>
    <s v="male"/>
    <n v="3"/>
    <x v="1"/>
  </r>
  <r>
    <n v="5"/>
    <n v="32"/>
    <n v="28.88"/>
    <n v="0"/>
    <n v="0"/>
    <n v="3866.8552"/>
    <s v="northwest"/>
    <x v="0"/>
    <s v="male"/>
    <n v="3"/>
    <x v="1"/>
  </r>
  <r>
    <n v="129"/>
    <n v="32"/>
    <n v="17.765000000000001"/>
    <n v="2"/>
    <n v="1"/>
    <n v="32734.186300000001"/>
    <s v="northwest"/>
    <x v="1"/>
    <s v="female"/>
    <n v="1"/>
    <x v="4"/>
  </r>
  <r>
    <n v="153"/>
    <n v="32"/>
    <n v="37.145000000000003"/>
    <n v="3"/>
    <n v="0"/>
    <n v="6334.3435499999996"/>
    <s v="northeast"/>
    <x v="0"/>
    <s v="female"/>
    <n v="5"/>
    <x v="2"/>
  </r>
  <r>
    <n v="164"/>
    <n v="32"/>
    <n v="29.8"/>
    <n v="2"/>
    <n v="0"/>
    <n v="5152.134"/>
    <s v="southwest"/>
    <x v="0"/>
    <s v="female"/>
    <n v="3"/>
    <x v="1"/>
  </r>
  <r>
    <n v="168"/>
    <n v="32"/>
    <n v="33.155000000000001"/>
    <n v="3"/>
    <n v="0"/>
    <n v="6128.79745"/>
    <s v="northwest"/>
    <x v="0"/>
    <s v="female"/>
    <n v="4"/>
    <x v="0"/>
  </r>
  <r>
    <n v="223"/>
    <n v="32"/>
    <n v="30.8"/>
    <n v="3"/>
    <n v="0"/>
    <n v="5253.5240000000003"/>
    <s v="southwest"/>
    <x v="0"/>
    <s v="male"/>
    <n v="4"/>
    <x v="0"/>
  </r>
  <r>
    <n v="320"/>
    <n v="32"/>
    <n v="37.335000000000001"/>
    <n v="1"/>
    <n v="0"/>
    <n v="4667.6076499999999"/>
    <s v="northeast"/>
    <x v="0"/>
    <s v="male"/>
    <n v="5"/>
    <x v="2"/>
  </r>
  <r>
    <n v="410"/>
    <n v="32"/>
    <n v="30.03"/>
    <n v="1"/>
    <n v="0"/>
    <n v="4074.4537"/>
    <s v="southeast"/>
    <x v="0"/>
    <s v="male"/>
    <n v="4"/>
    <x v="0"/>
  </r>
  <r>
    <n v="455"/>
    <n v="32"/>
    <n v="46.53"/>
    <n v="2"/>
    <n v="0"/>
    <n v="4686.3887000000004"/>
    <s v="southeast"/>
    <x v="0"/>
    <s v="male"/>
    <n v="6"/>
    <x v="5"/>
  </r>
  <r>
    <n v="522"/>
    <n v="32"/>
    <n v="44.22"/>
    <n v="0"/>
    <n v="0"/>
    <n v="3994.1777999999999"/>
    <s v="southeast"/>
    <x v="0"/>
    <s v="female"/>
    <n v="6"/>
    <x v="5"/>
  </r>
  <r>
    <n v="552"/>
    <n v="32"/>
    <n v="28.93"/>
    <n v="0"/>
    <n v="0"/>
    <n v="3972.9247"/>
    <s v="southeast"/>
    <x v="0"/>
    <s v="female"/>
    <n v="3"/>
    <x v="1"/>
  </r>
  <r>
    <n v="584"/>
    <n v="32"/>
    <n v="23.65"/>
    <n v="1"/>
    <n v="0"/>
    <n v="17626.239509999999"/>
    <s v="southeast"/>
    <x v="0"/>
    <s v="female"/>
    <n v="2"/>
    <x v="3"/>
  </r>
  <r>
    <n v="663"/>
    <n v="32"/>
    <n v="31.54"/>
    <n v="1"/>
    <n v="0"/>
    <n v="5148.5526"/>
    <s v="northeast"/>
    <x v="0"/>
    <s v="female"/>
    <n v="4"/>
    <x v="0"/>
  </r>
  <r>
    <n v="886"/>
    <n v="32"/>
    <n v="28.93"/>
    <n v="1"/>
    <n v="1"/>
    <n v="19719.6947"/>
    <s v="southeast"/>
    <x v="1"/>
    <s v="male"/>
    <n v="3"/>
    <x v="1"/>
  </r>
  <r>
    <n v="910"/>
    <n v="32"/>
    <n v="24.6"/>
    <n v="0"/>
    <n v="1"/>
    <n v="17496.306"/>
    <s v="southwest"/>
    <x v="1"/>
    <s v="female"/>
    <n v="2"/>
    <x v="3"/>
  </r>
  <r>
    <n v="935"/>
    <n v="32"/>
    <n v="37.18"/>
    <n v="2"/>
    <n v="0"/>
    <n v="4673.3922000000002"/>
    <s v="southeast"/>
    <x v="0"/>
    <s v="male"/>
    <n v="5"/>
    <x v="2"/>
  </r>
  <r>
    <n v="1060"/>
    <n v="32"/>
    <n v="33.82"/>
    <n v="1"/>
    <n v="0"/>
    <n v="4462.7218000000003"/>
    <s v="northwest"/>
    <x v="0"/>
    <s v="male"/>
    <n v="4"/>
    <x v="0"/>
  </r>
  <r>
    <n v="1076"/>
    <n v="32"/>
    <n v="29.59"/>
    <n v="1"/>
    <n v="0"/>
    <n v="4562.8420999999998"/>
    <s v="southeast"/>
    <x v="0"/>
    <s v="female"/>
    <n v="3"/>
    <x v="1"/>
  </r>
  <r>
    <n v="1082"/>
    <n v="32"/>
    <n v="27.835000000000001"/>
    <n v="1"/>
    <n v="0"/>
    <n v="4454.40265"/>
    <s v="northwest"/>
    <x v="0"/>
    <s v="male"/>
    <n v="3"/>
    <x v="1"/>
  </r>
  <r>
    <n v="1084"/>
    <n v="32"/>
    <n v="31.5"/>
    <n v="1"/>
    <n v="0"/>
    <n v="4076.4969999999998"/>
    <s v="southwest"/>
    <x v="0"/>
    <s v="male"/>
    <n v="4"/>
    <x v="0"/>
  </r>
  <r>
    <n v="1160"/>
    <n v="32"/>
    <n v="41.1"/>
    <n v="0"/>
    <n v="0"/>
    <n v="3989.8409999999999"/>
    <s v="southwest"/>
    <x v="0"/>
    <s v="female"/>
    <n v="6"/>
    <x v="5"/>
  </r>
  <r>
    <n v="1169"/>
    <n v="32"/>
    <n v="35.200000000000003"/>
    <n v="2"/>
    <n v="0"/>
    <n v="4670.6400000000003"/>
    <s v="southwest"/>
    <x v="0"/>
    <s v="male"/>
    <n v="5"/>
    <x v="2"/>
  </r>
  <r>
    <n v="1250"/>
    <n v="32"/>
    <n v="33.630000000000003"/>
    <n v="1"/>
    <n v="1"/>
    <n v="37607.527699999999"/>
    <s v="northeast"/>
    <x v="1"/>
    <s v="male"/>
    <n v="4"/>
    <x v="0"/>
  </r>
  <r>
    <n v="1261"/>
    <n v="32"/>
    <n v="20.52"/>
    <n v="0"/>
    <n v="0"/>
    <n v="4544.2348000000002"/>
    <s v="northeast"/>
    <x v="0"/>
    <s v="female"/>
    <n v="2"/>
    <x v="3"/>
  </r>
  <r>
    <n v="1278"/>
    <n v="32"/>
    <n v="29.734999999999999"/>
    <n v="0"/>
    <n v="0"/>
    <n v="4357.0436499999996"/>
    <s v="northwest"/>
    <x v="0"/>
    <s v="female"/>
    <n v="3"/>
    <x v="1"/>
  </r>
  <r>
    <n v="1308"/>
    <n v="32"/>
    <n v="28.12"/>
    <n v="4"/>
    <n v="1"/>
    <n v="21472.478800000001"/>
    <s v="northwest"/>
    <x v="1"/>
    <s v="male"/>
    <n v="3"/>
    <x v="1"/>
  </r>
  <r>
    <n v="4"/>
    <n v="33"/>
    <n v="22.704999999999998"/>
    <n v="0"/>
    <n v="0"/>
    <n v="21984.47061"/>
    <s v="northwest"/>
    <x v="0"/>
    <s v="male"/>
    <n v="2"/>
    <x v="3"/>
  </r>
  <r>
    <n v="242"/>
    <n v="33"/>
    <n v="22.135000000000002"/>
    <n v="1"/>
    <n v="0"/>
    <n v="5354.0746499999996"/>
    <s v="northeast"/>
    <x v="0"/>
    <s v="female"/>
    <n v="2"/>
    <x v="3"/>
  </r>
  <r>
    <n v="347"/>
    <n v="33"/>
    <n v="35.75"/>
    <n v="2"/>
    <n v="0"/>
    <n v="4889.9994999999999"/>
    <s v="southeast"/>
    <x v="0"/>
    <s v="male"/>
    <n v="5"/>
    <x v="2"/>
  </r>
  <r>
    <n v="354"/>
    <n v="33"/>
    <n v="35.244999999999997"/>
    <n v="0"/>
    <n v="0"/>
    <n v="12404.8791"/>
    <s v="northeast"/>
    <x v="0"/>
    <s v="male"/>
    <n v="5"/>
    <x v="2"/>
  </r>
  <r>
    <n v="407"/>
    <n v="33"/>
    <n v="24.31"/>
    <n v="0"/>
    <n v="0"/>
    <n v="4185.0978999999998"/>
    <s v="southeast"/>
    <x v="0"/>
    <s v="female"/>
    <n v="2"/>
    <x v="3"/>
  </r>
  <r>
    <n v="442"/>
    <n v="33"/>
    <n v="33.5"/>
    <n v="0"/>
    <n v="1"/>
    <n v="37079.372000000003"/>
    <s v="southwest"/>
    <x v="1"/>
    <s v="female"/>
    <n v="4"/>
    <x v="0"/>
  </r>
  <r>
    <n v="537"/>
    <n v="33"/>
    <n v="38.9"/>
    <n v="3"/>
    <n v="0"/>
    <n v="5972.3779999999997"/>
    <s v="southwest"/>
    <x v="0"/>
    <s v="female"/>
    <n v="5"/>
    <x v="2"/>
  </r>
  <r>
    <n v="586"/>
    <n v="33"/>
    <n v="28.27"/>
    <n v="1"/>
    <n v="0"/>
    <n v="4779.6022999999996"/>
    <s v="southeast"/>
    <x v="0"/>
    <s v="female"/>
    <n v="3"/>
    <x v="1"/>
  </r>
  <r>
    <n v="628"/>
    <n v="33"/>
    <n v="42.46"/>
    <n v="1"/>
    <n v="0"/>
    <n v="11326.71487"/>
    <s v="southeast"/>
    <x v="0"/>
    <s v="male"/>
    <n v="6"/>
    <x v="5"/>
  </r>
  <r>
    <n v="641"/>
    <n v="33"/>
    <n v="42.4"/>
    <n v="5"/>
    <n v="0"/>
    <n v="6666.2430000000004"/>
    <s v="southwest"/>
    <x v="0"/>
    <s v="male"/>
    <n v="6"/>
    <x v="5"/>
  </r>
  <r>
    <n v="685"/>
    <n v="33"/>
    <n v="18.5"/>
    <n v="1"/>
    <n v="0"/>
    <n v="4766.0219999999999"/>
    <s v="southwest"/>
    <x v="0"/>
    <s v="female"/>
    <n v="2"/>
    <x v="3"/>
  </r>
  <r>
    <n v="706"/>
    <n v="33"/>
    <n v="32.9"/>
    <n v="2"/>
    <n v="0"/>
    <n v="5375.0379999999996"/>
    <s v="southwest"/>
    <x v="0"/>
    <s v="female"/>
    <n v="4"/>
    <x v="0"/>
  </r>
  <r>
    <n v="763"/>
    <n v="33"/>
    <n v="27.1"/>
    <n v="1"/>
    <n v="1"/>
    <n v="19040.876"/>
    <s v="southwest"/>
    <x v="1"/>
    <s v="male"/>
    <n v="3"/>
    <x v="1"/>
  </r>
  <r>
    <n v="800"/>
    <n v="33"/>
    <n v="24.795000000000002"/>
    <n v="0"/>
    <n v="1"/>
    <n v="17904.527050000001"/>
    <s v="northeast"/>
    <x v="1"/>
    <s v="male"/>
    <n v="2"/>
    <x v="3"/>
  </r>
  <r>
    <n v="812"/>
    <n v="33"/>
    <n v="42.94"/>
    <n v="3"/>
    <n v="0"/>
    <n v="6360.9935999999998"/>
    <s v="northwest"/>
    <x v="0"/>
    <s v="female"/>
    <n v="6"/>
    <x v="5"/>
  </r>
  <r>
    <n v="820"/>
    <n v="33"/>
    <n v="35.53"/>
    <n v="0"/>
    <n v="1"/>
    <n v="55135.402090000003"/>
    <s v="northwest"/>
    <x v="1"/>
    <s v="female"/>
    <n v="5"/>
    <x v="2"/>
  </r>
  <r>
    <n v="878"/>
    <n v="33"/>
    <n v="33.44"/>
    <n v="5"/>
    <n v="0"/>
    <n v="6653.7885999999999"/>
    <s v="southeast"/>
    <x v="0"/>
    <s v="male"/>
    <n v="4"/>
    <x v="0"/>
  </r>
  <r>
    <n v="915"/>
    <n v="33"/>
    <n v="24.605"/>
    <n v="2"/>
    <n v="0"/>
    <n v="5257.5079500000002"/>
    <s v="northwest"/>
    <x v="0"/>
    <s v="male"/>
    <n v="2"/>
    <x v="3"/>
  </r>
  <r>
    <n v="999"/>
    <n v="33"/>
    <n v="36.29"/>
    <n v="3"/>
    <n v="0"/>
    <n v="6551.7501000000002"/>
    <s v="northeast"/>
    <x v="0"/>
    <s v="female"/>
    <n v="5"/>
    <x v="2"/>
  </r>
  <r>
    <n v="1101"/>
    <n v="33"/>
    <n v="19.094999999999999"/>
    <n v="2"/>
    <n v="1"/>
    <n v="16776.304049999999"/>
    <s v="northeast"/>
    <x v="1"/>
    <s v="female"/>
    <n v="2"/>
    <x v="3"/>
  </r>
  <r>
    <n v="1119"/>
    <n v="33"/>
    <n v="35.75"/>
    <n v="1"/>
    <n v="1"/>
    <n v="38282.749499999998"/>
    <s v="southeast"/>
    <x v="1"/>
    <s v="male"/>
    <n v="5"/>
    <x v="2"/>
  </r>
  <r>
    <n v="1139"/>
    <n v="33"/>
    <n v="30.25"/>
    <n v="0"/>
    <n v="0"/>
    <n v="3704.3544999999999"/>
    <s v="southeast"/>
    <x v="0"/>
    <s v="male"/>
    <n v="4"/>
    <x v="0"/>
  </r>
  <r>
    <n v="1226"/>
    <n v="33"/>
    <n v="39.82"/>
    <n v="1"/>
    <n v="0"/>
    <n v="4795.6567999999997"/>
    <s v="southeast"/>
    <x v="0"/>
    <s v="female"/>
    <n v="5"/>
    <x v="2"/>
  </r>
  <r>
    <n v="1248"/>
    <n v="33"/>
    <n v="29.4"/>
    <n v="4"/>
    <n v="0"/>
    <n v="6059.1729999999998"/>
    <s v="southwest"/>
    <x v="0"/>
    <s v="male"/>
    <n v="3"/>
    <x v="1"/>
  </r>
  <r>
    <n v="1299"/>
    <n v="33"/>
    <n v="27.454999999999998"/>
    <n v="2"/>
    <n v="0"/>
    <n v="5261.4694499999996"/>
    <s v="northwest"/>
    <x v="0"/>
    <s v="male"/>
    <n v="3"/>
    <x v="1"/>
  </r>
  <r>
    <n v="1312"/>
    <n v="33"/>
    <n v="26.695"/>
    <n v="0"/>
    <n v="0"/>
    <n v="4571.4130500000001"/>
    <s v="northwest"/>
    <x v="0"/>
    <s v="female"/>
    <n v="3"/>
    <x v="1"/>
  </r>
  <r>
    <n v="24"/>
    <n v="34"/>
    <n v="31.92"/>
    <n v="1"/>
    <n v="1"/>
    <n v="37701.876799999998"/>
    <s v="northeast"/>
    <x v="1"/>
    <s v="female"/>
    <n v="4"/>
    <x v="0"/>
  </r>
  <r>
    <n v="60"/>
    <n v="34"/>
    <n v="37.335000000000001"/>
    <n v="2"/>
    <n v="0"/>
    <n v="5989.5236500000001"/>
    <s v="northwest"/>
    <x v="0"/>
    <s v="female"/>
    <n v="5"/>
    <x v="2"/>
  </r>
  <r>
    <n v="105"/>
    <n v="34"/>
    <n v="27.5"/>
    <n v="1"/>
    <n v="0"/>
    <n v="5003.8530000000001"/>
    <s v="southwest"/>
    <x v="0"/>
    <s v="female"/>
    <n v="3"/>
    <x v="1"/>
  </r>
  <r>
    <n v="141"/>
    <n v="34"/>
    <n v="22.42"/>
    <n v="2"/>
    <n v="0"/>
    <n v="27375.904780000001"/>
    <s v="northeast"/>
    <x v="0"/>
    <s v="male"/>
    <n v="2"/>
    <x v="3"/>
  </r>
  <r>
    <n v="143"/>
    <n v="34"/>
    <n v="25.3"/>
    <n v="2"/>
    <n v="1"/>
    <n v="18972.494999999999"/>
    <s v="southeast"/>
    <x v="1"/>
    <s v="male"/>
    <n v="3"/>
    <x v="1"/>
  </r>
  <r>
    <n v="214"/>
    <n v="34"/>
    <n v="26.73"/>
    <n v="1"/>
    <n v="0"/>
    <n v="5002.7826999999997"/>
    <s v="southeast"/>
    <x v="0"/>
    <s v="female"/>
    <n v="3"/>
    <x v="1"/>
  </r>
  <r>
    <n v="221"/>
    <n v="34"/>
    <n v="33.700000000000003"/>
    <n v="1"/>
    <n v="0"/>
    <n v="5012.4709999999995"/>
    <s v="southwest"/>
    <x v="0"/>
    <s v="female"/>
    <n v="4"/>
    <x v="0"/>
  </r>
  <r>
    <n v="321"/>
    <n v="34"/>
    <n v="25.27"/>
    <n v="1"/>
    <n v="0"/>
    <n v="4894.7533000000003"/>
    <s v="northwest"/>
    <x v="0"/>
    <s v="male"/>
    <n v="3"/>
    <x v="1"/>
  </r>
  <r>
    <n v="323"/>
    <n v="34"/>
    <n v="30.8"/>
    <n v="0"/>
    <n v="1"/>
    <n v="35491.64"/>
    <s v="southwest"/>
    <x v="1"/>
    <s v="male"/>
    <n v="4"/>
    <x v="0"/>
  </r>
  <r>
    <n v="346"/>
    <n v="34"/>
    <n v="29.26"/>
    <n v="3"/>
    <n v="0"/>
    <n v="6184.2993999999999"/>
    <s v="southeast"/>
    <x v="0"/>
    <s v="female"/>
    <n v="3"/>
    <x v="1"/>
  </r>
  <r>
    <n v="541"/>
    <n v="34"/>
    <n v="38"/>
    <n v="3"/>
    <n v="0"/>
    <n v="6196.4480000000003"/>
    <s v="southwest"/>
    <x v="0"/>
    <s v="female"/>
    <n v="5"/>
    <x v="2"/>
  </r>
  <r>
    <n v="558"/>
    <n v="34"/>
    <n v="34.21"/>
    <n v="0"/>
    <n v="0"/>
    <n v="3935.1799000000001"/>
    <s v="southeast"/>
    <x v="0"/>
    <s v="male"/>
    <n v="4"/>
    <x v="0"/>
  </r>
  <r>
    <n v="588"/>
    <n v="34"/>
    <n v="30.21"/>
    <n v="1"/>
    <n v="1"/>
    <n v="43943.876100000001"/>
    <s v="northwest"/>
    <x v="1"/>
    <s v="female"/>
    <n v="4"/>
    <x v="0"/>
  </r>
  <r>
    <n v="598"/>
    <n v="34"/>
    <n v="33.25"/>
    <n v="1"/>
    <n v="0"/>
    <n v="5594.8455000000004"/>
    <s v="northeast"/>
    <x v="0"/>
    <s v="female"/>
    <n v="4"/>
    <x v="0"/>
  </r>
  <r>
    <n v="614"/>
    <n v="34"/>
    <n v="19"/>
    <n v="3"/>
    <n v="0"/>
    <n v="6753.0379999999996"/>
    <s v="northeast"/>
    <x v="0"/>
    <s v="female"/>
    <n v="2"/>
    <x v="3"/>
  </r>
  <r>
    <n v="704"/>
    <n v="34"/>
    <n v="26.41"/>
    <n v="1"/>
    <n v="0"/>
    <n v="5385.3379000000004"/>
    <s v="northwest"/>
    <x v="0"/>
    <s v="female"/>
    <n v="3"/>
    <x v="1"/>
  </r>
  <r>
    <n v="747"/>
    <n v="34"/>
    <n v="27"/>
    <n v="2"/>
    <n v="0"/>
    <n v="11737.848840000001"/>
    <s v="southwest"/>
    <x v="0"/>
    <s v="male"/>
    <n v="3"/>
    <x v="1"/>
  </r>
  <r>
    <n v="924"/>
    <n v="34"/>
    <n v="35.814999999999998"/>
    <n v="0"/>
    <n v="0"/>
    <n v="4320.4108500000002"/>
    <s v="northwest"/>
    <x v="0"/>
    <s v="male"/>
    <n v="5"/>
    <x v="2"/>
  </r>
  <r>
    <n v="955"/>
    <n v="34"/>
    <n v="27.835000000000001"/>
    <n v="1"/>
    <n v="1"/>
    <n v="20009.63365"/>
    <s v="northwest"/>
    <x v="1"/>
    <s v="male"/>
    <n v="3"/>
    <x v="1"/>
  </r>
  <r>
    <n v="972"/>
    <n v="34"/>
    <n v="23.56"/>
    <n v="0"/>
    <n v="0"/>
    <n v="4992.3764000000001"/>
    <s v="northeast"/>
    <x v="0"/>
    <s v="female"/>
    <n v="2"/>
    <x v="3"/>
  </r>
  <r>
    <n v="982"/>
    <n v="34"/>
    <n v="21.375"/>
    <n v="0"/>
    <n v="0"/>
    <n v="4500.33925"/>
    <s v="northeast"/>
    <x v="0"/>
    <s v="male"/>
    <n v="2"/>
    <x v="3"/>
  </r>
  <r>
    <n v="989"/>
    <n v="34"/>
    <n v="34.674999999999997"/>
    <n v="0"/>
    <n v="0"/>
    <n v="4518.8262500000001"/>
    <s v="northeast"/>
    <x v="0"/>
    <s v="male"/>
    <n v="4"/>
    <x v="0"/>
  </r>
  <r>
    <n v="1129"/>
    <n v="34"/>
    <n v="32.799999999999997"/>
    <n v="1"/>
    <n v="0"/>
    <n v="14358.364369999999"/>
    <s v="southwest"/>
    <x v="0"/>
    <s v="male"/>
    <n v="4"/>
    <x v="0"/>
  </r>
  <r>
    <n v="1162"/>
    <n v="34"/>
    <n v="42.13"/>
    <n v="2"/>
    <n v="0"/>
    <n v="5124.1886999999997"/>
    <s v="southeast"/>
    <x v="0"/>
    <s v="male"/>
    <n v="6"/>
    <x v="5"/>
  </r>
  <r>
    <n v="1255"/>
    <n v="34"/>
    <n v="27.72"/>
    <n v="0"/>
    <n v="0"/>
    <n v="4415.1588000000002"/>
    <s v="southeast"/>
    <x v="0"/>
    <s v="female"/>
    <n v="3"/>
    <x v="1"/>
  </r>
  <r>
    <n v="1313"/>
    <n v="34"/>
    <n v="42.9"/>
    <n v="1"/>
    <n v="0"/>
    <n v="4536.259"/>
    <s v="southwest"/>
    <x v="0"/>
    <s v="male"/>
    <n v="6"/>
    <x v="5"/>
  </r>
  <r>
    <n v="39"/>
    <n v="35"/>
    <n v="36.67"/>
    <n v="1"/>
    <n v="1"/>
    <n v="39774.276299999998"/>
    <s v="northeast"/>
    <x v="1"/>
    <s v="male"/>
    <n v="5"/>
    <x v="2"/>
  </r>
  <r>
    <n v="94"/>
    <n v="35"/>
    <n v="34.770000000000003"/>
    <n v="2"/>
    <n v="0"/>
    <n v="5729.0052999999998"/>
    <s v="northwest"/>
    <x v="0"/>
    <s v="male"/>
    <n v="4"/>
    <x v="0"/>
  </r>
  <r>
    <n v="151"/>
    <n v="35"/>
    <n v="24.13"/>
    <n v="1"/>
    <n v="0"/>
    <n v="5125.2156999999997"/>
    <s v="northwest"/>
    <x v="0"/>
    <s v="male"/>
    <n v="2"/>
    <x v="3"/>
  </r>
  <r>
    <n v="174"/>
    <n v="35"/>
    <n v="34.799999999999997"/>
    <n v="1"/>
    <n v="0"/>
    <n v="5246.0469999999996"/>
    <s v="southwest"/>
    <x v="0"/>
    <s v="female"/>
    <n v="4"/>
    <x v="0"/>
  </r>
  <r>
    <n v="208"/>
    <n v="35"/>
    <n v="27.74"/>
    <n v="2"/>
    <n v="1"/>
    <n v="20984.0936"/>
    <s v="northeast"/>
    <x v="1"/>
    <s v="male"/>
    <n v="3"/>
    <x v="1"/>
  </r>
  <r>
    <n v="362"/>
    <n v="35"/>
    <n v="30.5"/>
    <n v="1"/>
    <n v="0"/>
    <n v="4751.07"/>
    <s v="southwest"/>
    <x v="0"/>
    <s v="male"/>
    <n v="4"/>
    <x v="0"/>
  </r>
  <r>
    <n v="384"/>
    <n v="35"/>
    <n v="43.34"/>
    <n v="2"/>
    <n v="0"/>
    <n v="5846.9175999999998"/>
    <s v="southeast"/>
    <x v="0"/>
    <s v="female"/>
    <n v="6"/>
    <x v="5"/>
  </r>
  <r>
    <n v="438"/>
    <n v="35"/>
    <n v="28.9"/>
    <n v="3"/>
    <n v="0"/>
    <n v="5926.8459999999995"/>
    <s v="southwest"/>
    <x v="0"/>
    <s v="male"/>
    <n v="3"/>
    <x v="1"/>
  </r>
  <r>
    <n v="450"/>
    <n v="35"/>
    <n v="38.6"/>
    <n v="1"/>
    <n v="0"/>
    <n v="4762.3289999999997"/>
    <s v="southwest"/>
    <x v="0"/>
    <s v="male"/>
    <n v="5"/>
    <x v="2"/>
  </r>
  <r>
    <n v="519"/>
    <n v="35"/>
    <n v="31"/>
    <n v="1"/>
    <n v="0"/>
    <n v="5240.7650000000003"/>
    <s v="southwest"/>
    <x v="0"/>
    <s v="female"/>
    <n v="4"/>
    <x v="0"/>
  </r>
  <r>
    <n v="559"/>
    <n v="35"/>
    <n v="34.104999999999997"/>
    <n v="3"/>
    <n v="1"/>
    <n v="39983.425949999997"/>
    <s v="northwest"/>
    <x v="1"/>
    <s v="female"/>
    <n v="4"/>
    <x v="0"/>
  </r>
  <r>
    <n v="638"/>
    <n v="35"/>
    <n v="38.094999999999999"/>
    <n v="2"/>
    <n v="0"/>
    <n v="24915.046259999999"/>
    <s v="northeast"/>
    <x v="0"/>
    <s v="female"/>
    <n v="5"/>
    <x v="2"/>
  </r>
  <r>
    <n v="731"/>
    <n v="35"/>
    <n v="24.42"/>
    <n v="3"/>
    <n v="1"/>
    <n v="19361.998800000001"/>
    <s v="southeast"/>
    <x v="1"/>
    <s v="male"/>
    <n v="2"/>
    <x v="3"/>
  </r>
  <r>
    <n v="779"/>
    <n v="35"/>
    <n v="34.32"/>
    <n v="3"/>
    <n v="0"/>
    <n v="5934.3797999999997"/>
    <s v="southeast"/>
    <x v="0"/>
    <s v="male"/>
    <n v="4"/>
    <x v="0"/>
  </r>
  <r>
    <n v="786"/>
    <n v="35"/>
    <n v="27.7"/>
    <n v="3"/>
    <n v="0"/>
    <n v="6414.1779999999999"/>
    <s v="southwest"/>
    <x v="0"/>
    <s v="female"/>
    <n v="3"/>
    <x v="1"/>
  </r>
  <r>
    <n v="839"/>
    <n v="35"/>
    <n v="23.465"/>
    <n v="2"/>
    <n v="0"/>
    <n v="6402.2913500000004"/>
    <s v="northeast"/>
    <x v="0"/>
    <s v="female"/>
    <n v="2"/>
    <x v="3"/>
  </r>
  <r>
    <n v="920"/>
    <n v="35"/>
    <n v="34.21"/>
    <n v="1"/>
    <n v="0"/>
    <n v="5245.2268999999997"/>
    <s v="southeast"/>
    <x v="0"/>
    <s v="female"/>
    <n v="4"/>
    <x v="0"/>
  </r>
  <r>
    <n v="966"/>
    <n v="35"/>
    <n v="27.1"/>
    <n v="1"/>
    <n v="0"/>
    <n v="4746.3440000000001"/>
    <s v="southwest"/>
    <x v="0"/>
    <s v="male"/>
    <n v="3"/>
    <x v="1"/>
  </r>
  <r>
    <n v="1041"/>
    <n v="35"/>
    <n v="28.024999999999999"/>
    <n v="0"/>
    <n v="1"/>
    <n v="20234.854749999999"/>
    <s v="northwest"/>
    <x v="1"/>
    <s v="female"/>
    <n v="3"/>
    <x v="1"/>
  </r>
  <r>
    <n v="1128"/>
    <n v="35"/>
    <n v="35.86"/>
    <n v="2"/>
    <n v="0"/>
    <n v="5836.5204000000003"/>
    <s v="southeast"/>
    <x v="0"/>
    <s v="female"/>
    <n v="5"/>
    <x v="2"/>
  </r>
  <r>
    <n v="1154"/>
    <n v="35"/>
    <n v="35.814999999999998"/>
    <n v="1"/>
    <n v="0"/>
    <n v="5630.4578499999998"/>
    <s v="northwest"/>
    <x v="0"/>
    <s v="female"/>
    <n v="5"/>
    <x v="2"/>
  </r>
  <r>
    <n v="1166"/>
    <n v="35"/>
    <n v="26.125"/>
    <n v="0"/>
    <n v="0"/>
    <n v="5227.9887500000004"/>
    <s v="northeast"/>
    <x v="0"/>
    <s v="female"/>
    <n v="3"/>
    <x v="1"/>
  </r>
  <r>
    <n v="1206"/>
    <n v="35"/>
    <n v="17.86"/>
    <n v="1"/>
    <n v="0"/>
    <n v="5116.5003999999999"/>
    <s v="northwest"/>
    <x v="0"/>
    <s v="male"/>
    <n v="1"/>
    <x v="4"/>
  </r>
  <r>
    <n v="1274"/>
    <n v="35"/>
    <n v="27.61"/>
    <n v="1"/>
    <n v="0"/>
    <n v="4747.0528999999997"/>
    <s v="southeast"/>
    <x v="0"/>
    <s v="male"/>
    <n v="3"/>
    <x v="1"/>
  </r>
  <r>
    <n v="1319"/>
    <n v="35"/>
    <n v="39.71"/>
    <n v="4"/>
    <n v="0"/>
    <n v="19496.71917"/>
    <s v="northeast"/>
    <x v="0"/>
    <s v="male"/>
    <n v="5"/>
    <x v="2"/>
  </r>
  <r>
    <n v="50"/>
    <n v="36"/>
    <n v="35.200000000000003"/>
    <n v="1"/>
    <n v="1"/>
    <n v="38709.175999999999"/>
    <s v="southeast"/>
    <x v="1"/>
    <s v="male"/>
    <n v="5"/>
    <x v="2"/>
  </r>
  <r>
    <n v="54"/>
    <n v="36"/>
    <n v="34.43"/>
    <n v="0"/>
    <n v="1"/>
    <n v="37742.575700000001"/>
    <s v="southeast"/>
    <x v="1"/>
    <s v="male"/>
    <n v="4"/>
    <x v="0"/>
  </r>
  <r>
    <n v="186"/>
    <n v="36"/>
    <n v="41.895000000000003"/>
    <n v="3"/>
    <n v="1"/>
    <n v="43753.337050000002"/>
    <s v="northeast"/>
    <x v="1"/>
    <s v="male"/>
    <n v="6"/>
    <x v="5"/>
  </r>
  <r>
    <n v="192"/>
    <n v="36"/>
    <n v="26.2"/>
    <n v="0"/>
    <n v="0"/>
    <n v="4883.866"/>
    <s v="southwest"/>
    <x v="0"/>
    <s v="female"/>
    <n v="3"/>
    <x v="1"/>
  </r>
  <r>
    <n v="301"/>
    <n v="36"/>
    <n v="27.55"/>
    <n v="3"/>
    <n v="0"/>
    <n v="6746.7425000000003"/>
    <s v="northeast"/>
    <x v="0"/>
    <s v="male"/>
    <n v="3"/>
    <x v="1"/>
  </r>
  <r>
    <n v="349"/>
    <n v="36"/>
    <n v="29.92"/>
    <n v="1"/>
    <n v="0"/>
    <n v="5478.0367999999999"/>
    <s v="southeast"/>
    <x v="0"/>
    <s v="female"/>
    <n v="4"/>
    <x v="0"/>
  </r>
  <r>
    <n v="418"/>
    <n v="36"/>
    <n v="22.6"/>
    <n v="2"/>
    <n v="1"/>
    <n v="18608.261999999999"/>
    <s v="southwest"/>
    <x v="1"/>
    <s v="female"/>
    <n v="2"/>
    <x v="3"/>
  </r>
  <r>
    <n v="627"/>
    <n v="36"/>
    <n v="28.88"/>
    <n v="3"/>
    <n v="0"/>
    <n v="6748.5911999999998"/>
    <s v="northeast"/>
    <x v="0"/>
    <s v="male"/>
    <n v="3"/>
    <x v="1"/>
  </r>
  <r>
    <n v="673"/>
    <n v="36"/>
    <n v="29.7"/>
    <n v="0"/>
    <n v="0"/>
    <n v="4399.7309999999998"/>
    <s v="southeast"/>
    <x v="0"/>
    <s v="male"/>
    <n v="3"/>
    <x v="1"/>
  </r>
  <r>
    <n v="710"/>
    <n v="36"/>
    <n v="27.74"/>
    <n v="0"/>
    <n v="0"/>
    <n v="5469.0065999999997"/>
    <s v="northeast"/>
    <x v="0"/>
    <s v="female"/>
    <n v="3"/>
    <x v="1"/>
  </r>
  <r>
    <n v="815"/>
    <n v="36"/>
    <n v="34.43"/>
    <n v="2"/>
    <n v="0"/>
    <n v="5584.3056999999999"/>
    <s v="southeast"/>
    <x v="0"/>
    <s v="male"/>
    <n v="4"/>
    <x v="0"/>
  </r>
  <r>
    <n v="828"/>
    <n v="36"/>
    <n v="28.024999999999999"/>
    <n v="1"/>
    <n v="1"/>
    <n v="20773.62775"/>
    <s v="northeast"/>
    <x v="1"/>
    <s v="male"/>
    <n v="3"/>
    <x v="1"/>
  </r>
  <r>
    <n v="832"/>
    <n v="36"/>
    <n v="25.84"/>
    <n v="0"/>
    <n v="0"/>
    <n v="5266.3656000000001"/>
    <s v="northwest"/>
    <x v="0"/>
    <s v="female"/>
    <n v="3"/>
    <x v="1"/>
  </r>
  <r>
    <n v="835"/>
    <n v="36"/>
    <n v="33.82"/>
    <n v="1"/>
    <n v="0"/>
    <n v="5377.4578000000001"/>
    <s v="northwest"/>
    <x v="0"/>
    <s v="male"/>
    <n v="4"/>
    <x v="0"/>
  </r>
  <r>
    <n v="837"/>
    <n v="36"/>
    <n v="31.5"/>
    <n v="0"/>
    <n v="0"/>
    <n v="4402.2330000000002"/>
    <s v="southwest"/>
    <x v="0"/>
    <s v="male"/>
    <n v="4"/>
    <x v="0"/>
  </r>
  <r>
    <n v="864"/>
    <n v="36"/>
    <n v="19.855"/>
    <n v="0"/>
    <n v="0"/>
    <n v="5458.0464499999998"/>
    <s v="northeast"/>
    <x v="0"/>
    <s v="female"/>
    <n v="2"/>
    <x v="3"/>
  </r>
  <r>
    <n v="888"/>
    <n v="36"/>
    <n v="30.02"/>
    <n v="0"/>
    <n v="0"/>
    <n v="5272.1758"/>
    <s v="northwest"/>
    <x v="0"/>
    <s v="female"/>
    <n v="4"/>
    <x v="0"/>
  </r>
  <r>
    <n v="892"/>
    <n v="36"/>
    <n v="29.04"/>
    <n v="4"/>
    <n v="0"/>
    <n v="7243.8136000000004"/>
    <s v="southeast"/>
    <x v="0"/>
    <s v="female"/>
    <n v="3"/>
    <x v="1"/>
  </r>
  <r>
    <n v="980"/>
    <n v="36"/>
    <n v="29.92"/>
    <n v="0"/>
    <n v="0"/>
    <n v="4889.0367999999999"/>
    <s v="southeast"/>
    <x v="0"/>
    <s v="female"/>
    <n v="4"/>
    <x v="0"/>
  </r>
  <r>
    <n v="1000"/>
    <n v="36"/>
    <n v="26.885000000000002"/>
    <n v="0"/>
    <n v="0"/>
    <n v="5267.8181500000001"/>
    <s v="northwest"/>
    <x v="0"/>
    <s v="female"/>
    <n v="3"/>
    <x v="1"/>
  </r>
  <r>
    <n v="1064"/>
    <n v="36"/>
    <n v="28.594999999999999"/>
    <n v="3"/>
    <n v="0"/>
    <n v="6548.1950500000003"/>
    <s v="northwest"/>
    <x v="0"/>
    <s v="male"/>
    <n v="3"/>
    <x v="1"/>
  </r>
  <r>
    <n v="1156"/>
    <n v="36"/>
    <n v="22.135000000000002"/>
    <n v="3"/>
    <n v="0"/>
    <n v="7228.2156500000001"/>
    <s v="northeast"/>
    <x v="0"/>
    <s v="female"/>
    <n v="2"/>
    <x v="3"/>
  </r>
  <r>
    <n v="1208"/>
    <n v="36"/>
    <n v="33.4"/>
    <n v="2"/>
    <n v="1"/>
    <n v="38415.474000000002"/>
    <s v="southwest"/>
    <x v="1"/>
    <s v="male"/>
    <n v="4"/>
    <x v="0"/>
  </r>
  <r>
    <n v="1211"/>
    <n v="36"/>
    <n v="30.875"/>
    <n v="1"/>
    <n v="0"/>
    <n v="5373.3642499999996"/>
    <s v="northwest"/>
    <x v="0"/>
    <s v="male"/>
    <n v="4"/>
    <x v="0"/>
  </r>
  <r>
    <n v="1288"/>
    <n v="36"/>
    <n v="25.9"/>
    <n v="1"/>
    <n v="0"/>
    <n v="5472.4489999999996"/>
    <s v="southwest"/>
    <x v="0"/>
    <s v="female"/>
    <n v="3"/>
    <x v="1"/>
  </r>
  <r>
    <n v="8"/>
    <n v="37"/>
    <n v="27.74"/>
    <n v="3"/>
    <n v="0"/>
    <n v="7281.5056000000004"/>
    <s v="northwest"/>
    <x v="0"/>
    <s v="female"/>
    <n v="3"/>
    <x v="1"/>
  </r>
  <r>
    <n v="9"/>
    <n v="37"/>
    <n v="29.83"/>
    <n v="2"/>
    <n v="0"/>
    <n v="6406.4107000000004"/>
    <s v="northeast"/>
    <x v="0"/>
    <s v="male"/>
    <n v="3"/>
    <x v="1"/>
  </r>
  <r>
    <n v="25"/>
    <n v="37"/>
    <n v="28.024999999999999"/>
    <n v="2"/>
    <n v="0"/>
    <n v="6203.90175"/>
    <s v="northwest"/>
    <x v="0"/>
    <s v="male"/>
    <n v="3"/>
    <x v="1"/>
  </r>
  <r>
    <n v="44"/>
    <n v="37"/>
    <n v="30.8"/>
    <n v="2"/>
    <n v="0"/>
    <n v="6313.759"/>
    <s v="southeast"/>
    <x v="0"/>
    <s v="female"/>
    <n v="4"/>
    <x v="0"/>
  </r>
  <r>
    <n v="85"/>
    <n v="37"/>
    <n v="34.799999999999997"/>
    <n v="2"/>
    <n v="1"/>
    <n v="39836.519"/>
    <s v="southwest"/>
    <x v="1"/>
    <s v="female"/>
    <n v="4"/>
    <x v="0"/>
  </r>
  <r>
    <n v="113"/>
    <n v="37"/>
    <n v="30.8"/>
    <n v="0"/>
    <n v="0"/>
    <n v="4646.759"/>
    <s v="southwest"/>
    <x v="0"/>
    <s v="male"/>
    <n v="4"/>
    <x v="0"/>
  </r>
  <r>
    <n v="120"/>
    <n v="37"/>
    <n v="23.37"/>
    <n v="2"/>
    <n v="0"/>
    <n v="6686.4313000000002"/>
    <s v="northwest"/>
    <x v="0"/>
    <s v="female"/>
    <n v="2"/>
    <x v="3"/>
  </r>
  <r>
    <n v="165"/>
    <n v="37"/>
    <n v="29.64"/>
    <n v="0"/>
    <n v="0"/>
    <n v="5028.1466"/>
    <s v="northwest"/>
    <x v="0"/>
    <s v="male"/>
    <n v="3"/>
    <x v="1"/>
  </r>
  <r>
    <n v="506"/>
    <n v="37"/>
    <n v="30.875"/>
    <n v="3"/>
    <n v="0"/>
    <n v="6796.8632500000003"/>
    <s v="northwest"/>
    <x v="0"/>
    <s v="male"/>
    <n v="4"/>
    <x v="0"/>
  </r>
  <r>
    <n v="534"/>
    <n v="37"/>
    <n v="36.19"/>
    <n v="0"/>
    <n v="0"/>
    <n v="19214.705529999999"/>
    <s v="southeast"/>
    <x v="0"/>
    <s v="male"/>
    <n v="5"/>
    <x v="2"/>
  </r>
  <r>
    <n v="622"/>
    <n v="37"/>
    <n v="34.1"/>
    <n v="4"/>
    <n v="1"/>
    <n v="40182.245999999999"/>
    <s v="southwest"/>
    <x v="1"/>
    <s v="male"/>
    <n v="4"/>
    <x v="0"/>
  </r>
  <r>
    <n v="661"/>
    <n v="37"/>
    <n v="46.53"/>
    <n v="3"/>
    <n v="0"/>
    <n v="6435.6237000000001"/>
    <s v="southeast"/>
    <x v="0"/>
    <s v="male"/>
    <n v="6"/>
    <x v="5"/>
  </r>
  <r>
    <n v="737"/>
    <n v="37"/>
    <n v="38.39"/>
    <n v="0"/>
    <n v="1"/>
    <n v="40419.019099999998"/>
    <s v="southeast"/>
    <x v="1"/>
    <s v="female"/>
    <n v="5"/>
    <x v="2"/>
  </r>
  <r>
    <n v="751"/>
    <n v="37"/>
    <n v="26.4"/>
    <n v="0"/>
    <n v="1"/>
    <n v="19539.242999999999"/>
    <s v="southeast"/>
    <x v="1"/>
    <s v="female"/>
    <n v="3"/>
    <x v="1"/>
  </r>
  <r>
    <n v="851"/>
    <n v="37"/>
    <n v="30.78"/>
    <n v="0"/>
    <n v="1"/>
    <n v="37270.1512"/>
    <s v="northeast"/>
    <x v="1"/>
    <s v="female"/>
    <n v="4"/>
    <x v="0"/>
  </r>
  <r>
    <n v="861"/>
    <n v="37"/>
    <n v="47.6"/>
    <n v="2"/>
    <n v="1"/>
    <n v="46113.510999999999"/>
    <s v="southwest"/>
    <x v="1"/>
    <s v="female"/>
    <n v="6"/>
    <x v="5"/>
  </r>
  <r>
    <n v="880"/>
    <n v="37"/>
    <n v="29.5"/>
    <n v="2"/>
    <n v="0"/>
    <n v="6311.9520000000002"/>
    <s v="southwest"/>
    <x v="0"/>
    <s v="female"/>
    <n v="3"/>
    <x v="1"/>
  </r>
  <r>
    <n v="948"/>
    <n v="37"/>
    <n v="34.200000000000003"/>
    <n v="1"/>
    <n v="1"/>
    <n v="39047.285000000003"/>
    <s v="northeast"/>
    <x v="1"/>
    <s v="male"/>
    <n v="4"/>
    <x v="0"/>
  </r>
  <r>
    <n v="1030"/>
    <n v="37"/>
    <n v="17.29"/>
    <n v="2"/>
    <n v="0"/>
    <n v="6877.9800999999998"/>
    <s v="northeast"/>
    <x v="0"/>
    <s v="female"/>
    <n v="1"/>
    <x v="4"/>
  </r>
  <r>
    <n v="1071"/>
    <n v="37"/>
    <n v="37.07"/>
    <n v="1"/>
    <n v="1"/>
    <n v="39871.704299999998"/>
    <s v="southeast"/>
    <x v="1"/>
    <s v="male"/>
    <n v="5"/>
    <x v="2"/>
  </r>
  <r>
    <n v="1105"/>
    <n v="37"/>
    <n v="29.8"/>
    <n v="0"/>
    <n v="0"/>
    <n v="20420.604650000001"/>
    <s v="southwest"/>
    <x v="0"/>
    <s v="male"/>
    <n v="3"/>
    <x v="1"/>
  </r>
  <r>
    <n v="1170"/>
    <n v="37"/>
    <n v="34.104999999999997"/>
    <n v="1"/>
    <n v="0"/>
    <n v="6112.3529500000004"/>
    <s v="northwest"/>
    <x v="0"/>
    <s v="female"/>
    <n v="4"/>
    <x v="0"/>
  </r>
  <r>
    <n v="1201"/>
    <n v="37"/>
    <n v="24.32"/>
    <n v="2"/>
    <n v="0"/>
    <n v="6198.7518"/>
    <s v="northwest"/>
    <x v="0"/>
    <s v="male"/>
    <n v="2"/>
    <x v="3"/>
  </r>
  <r>
    <n v="1209"/>
    <n v="37"/>
    <n v="25.555"/>
    <n v="1"/>
    <n v="1"/>
    <n v="20296.863450000001"/>
    <s v="northeast"/>
    <x v="1"/>
    <s v="female"/>
    <n v="3"/>
    <x v="1"/>
  </r>
  <r>
    <n v="1239"/>
    <n v="37"/>
    <n v="22.704999999999998"/>
    <n v="3"/>
    <n v="0"/>
    <n v="6985.50695"/>
    <s v="northeast"/>
    <x v="0"/>
    <s v="male"/>
    <n v="2"/>
    <x v="3"/>
  </r>
  <r>
    <n v="45"/>
    <n v="38"/>
    <n v="37.049999999999997"/>
    <n v="1"/>
    <n v="0"/>
    <n v="6079.6715000000004"/>
    <s v="northeast"/>
    <x v="0"/>
    <s v="male"/>
    <n v="5"/>
    <x v="2"/>
  </r>
  <r>
    <n v="100"/>
    <n v="38"/>
    <n v="19.3"/>
    <n v="0"/>
    <n v="1"/>
    <n v="15820.699000000001"/>
    <s v="southwest"/>
    <x v="1"/>
    <s v="male"/>
    <n v="2"/>
    <x v="3"/>
  </r>
  <r>
    <n v="130"/>
    <n v="38"/>
    <n v="34.700000000000003"/>
    <n v="2"/>
    <n v="0"/>
    <n v="6082.4049999999997"/>
    <s v="southwest"/>
    <x v="0"/>
    <s v="male"/>
    <n v="4"/>
    <x v="0"/>
  </r>
  <r>
    <n v="177"/>
    <n v="38"/>
    <n v="27.835000000000001"/>
    <n v="2"/>
    <n v="0"/>
    <n v="6455.86265"/>
    <s v="northwest"/>
    <x v="0"/>
    <s v="male"/>
    <n v="3"/>
    <x v="1"/>
  </r>
  <r>
    <n v="258"/>
    <n v="38"/>
    <n v="40.15"/>
    <n v="0"/>
    <n v="0"/>
    <n v="5400.9804999999997"/>
    <s v="southeast"/>
    <x v="0"/>
    <s v="female"/>
    <n v="6"/>
    <x v="5"/>
  </r>
  <r>
    <n v="409"/>
    <n v="38"/>
    <n v="21.12"/>
    <n v="3"/>
    <n v="0"/>
    <n v="6652.5288"/>
    <s v="southeast"/>
    <x v="0"/>
    <s v="male"/>
    <n v="2"/>
    <x v="3"/>
  </r>
  <r>
    <n v="427"/>
    <n v="38"/>
    <n v="27.265000000000001"/>
    <n v="1"/>
    <n v="0"/>
    <n v="6555.07035"/>
    <s v="northeast"/>
    <x v="0"/>
    <s v="female"/>
    <n v="3"/>
    <x v="1"/>
  </r>
  <r>
    <n v="505"/>
    <n v="38"/>
    <n v="28.93"/>
    <n v="1"/>
    <n v="0"/>
    <n v="5974.3846999999996"/>
    <s v="southeast"/>
    <x v="0"/>
    <s v="female"/>
    <n v="3"/>
    <x v="1"/>
  </r>
  <r>
    <n v="524"/>
    <n v="38"/>
    <n v="37.729999999999997"/>
    <n v="0"/>
    <n v="0"/>
    <n v="5397.6166999999996"/>
    <s v="southeast"/>
    <x v="0"/>
    <s v="female"/>
    <n v="5"/>
    <x v="2"/>
  </r>
  <r>
    <n v="536"/>
    <n v="38"/>
    <n v="28.024999999999999"/>
    <n v="1"/>
    <n v="0"/>
    <n v="6067.1267500000004"/>
    <s v="northeast"/>
    <x v="0"/>
    <s v="male"/>
    <n v="3"/>
    <x v="1"/>
  </r>
  <r>
    <n v="567"/>
    <n v="38"/>
    <n v="40.564999999999998"/>
    <n v="1"/>
    <n v="0"/>
    <n v="6373.55735"/>
    <s v="northwest"/>
    <x v="0"/>
    <s v="female"/>
    <n v="6"/>
    <x v="5"/>
  </r>
  <r>
    <n v="590"/>
    <n v="38"/>
    <n v="30.69"/>
    <n v="1"/>
    <n v="0"/>
    <n v="5976.8311000000003"/>
    <s v="southeast"/>
    <x v="0"/>
    <s v="female"/>
    <n v="4"/>
    <x v="0"/>
  </r>
  <r>
    <n v="612"/>
    <n v="38"/>
    <n v="34.799999999999997"/>
    <n v="2"/>
    <n v="0"/>
    <n v="6571.5439999999999"/>
    <s v="southwest"/>
    <x v="0"/>
    <s v="female"/>
    <n v="4"/>
    <x v="0"/>
  </r>
  <r>
    <n v="770"/>
    <n v="38"/>
    <n v="19.475000000000001"/>
    <n v="2"/>
    <n v="0"/>
    <n v="6933.2422500000002"/>
    <s v="northwest"/>
    <x v="0"/>
    <s v="female"/>
    <n v="2"/>
    <x v="3"/>
  </r>
  <r>
    <n v="862"/>
    <n v="38"/>
    <n v="28"/>
    <n v="3"/>
    <n v="0"/>
    <n v="7151.0919999999996"/>
    <s v="southwest"/>
    <x v="0"/>
    <s v="female"/>
    <n v="3"/>
    <x v="1"/>
  </r>
  <r>
    <n v="923"/>
    <n v="38"/>
    <n v="31"/>
    <n v="1"/>
    <n v="0"/>
    <n v="5488.2619999999997"/>
    <s v="southwest"/>
    <x v="0"/>
    <s v="male"/>
    <n v="4"/>
    <x v="0"/>
  </r>
  <r>
    <n v="992"/>
    <n v="38"/>
    <n v="27.835000000000001"/>
    <n v="2"/>
    <n v="0"/>
    <n v="7144.86265"/>
    <s v="northeast"/>
    <x v="0"/>
    <s v="female"/>
    <n v="3"/>
    <x v="1"/>
  </r>
  <r>
    <n v="994"/>
    <n v="38"/>
    <n v="28.27"/>
    <n v="1"/>
    <n v="0"/>
    <n v="5484.4673000000003"/>
    <s v="southeast"/>
    <x v="0"/>
    <s v="male"/>
    <n v="3"/>
    <x v="1"/>
  </r>
  <r>
    <n v="1015"/>
    <n v="38"/>
    <n v="27.6"/>
    <n v="0"/>
    <n v="0"/>
    <n v="5383.5360000000001"/>
    <s v="southwest"/>
    <x v="0"/>
    <s v="female"/>
    <n v="3"/>
    <x v="1"/>
  </r>
  <r>
    <n v="1083"/>
    <n v="38"/>
    <n v="19.95"/>
    <n v="1"/>
    <n v="0"/>
    <n v="5855.9025000000001"/>
    <s v="northwest"/>
    <x v="0"/>
    <s v="male"/>
    <n v="2"/>
    <x v="3"/>
  </r>
  <r>
    <n v="1112"/>
    <n v="38"/>
    <n v="38.39"/>
    <n v="3"/>
    <n v="1"/>
    <n v="41949.244100000004"/>
    <s v="southeast"/>
    <x v="1"/>
    <s v="male"/>
    <n v="5"/>
    <x v="2"/>
  </r>
  <r>
    <n v="1174"/>
    <n v="38"/>
    <n v="29.26"/>
    <n v="2"/>
    <n v="0"/>
    <n v="6457.8433999999997"/>
    <s v="northwest"/>
    <x v="0"/>
    <s v="male"/>
    <n v="3"/>
    <x v="1"/>
  </r>
  <r>
    <n v="1220"/>
    <n v="38"/>
    <n v="30.21"/>
    <n v="3"/>
    <n v="0"/>
    <n v="7537.1638999999996"/>
    <s v="northwest"/>
    <x v="0"/>
    <s v="female"/>
    <n v="4"/>
    <x v="0"/>
  </r>
  <r>
    <n v="1227"/>
    <n v="38"/>
    <n v="16.815000000000001"/>
    <n v="2"/>
    <n v="0"/>
    <n v="6640.5448500000002"/>
    <s v="northeast"/>
    <x v="0"/>
    <s v="male"/>
    <n v="1"/>
    <x v="4"/>
  </r>
  <r>
    <n v="1291"/>
    <n v="38"/>
    <n v="19.95"/>
    <n v="2"/>
    <n v="0"/>
    <n v="7133.9025000000001"/>
    <s v="northeast"/>
    <x v="0"/>
    <s v="female"/>
    <n v="2"/>
    <x v="3"/>
  </r>
  <r>
    <n v="197"/>
    <n v="39"/>
    <n v="32.799999999999997"/>
    <n v="0"/>
    <n v="0"/>
    <n v="5649.7150000000001"/>
    <s v="southwest"/>
    <x v="0"/>
    <s v="female"/>
    <n v="4"/>
    <x v="0"/>
  </r>
  <r>
    <n v="235"/>
    <n v="39"/>
    <n v="24.51"/>
    <n v="2"/>
    <n v="0"/>
    <n v="6710.1918999999998"/>
    <s v="northwest"/>
    <x v="0"/>
    <s v="male"/>
    <n v="2"/>
    <x v="3"/>
  </r>
  <r>
    <n v="377"/>
    <n v="39"/>
    <n v="24.89"/>
    <n v="3"/>
    <n v="1"/>
    <n v="21659.930100000001"/>
    <s v="northeast"/>
    <x v="1"/>
    <s v="female"/>
    <n v="2"/>
    <x v="3"/>
  </r>
  <r>
    <n v="451"/>
    <n v="39"/>
    <n v="29.6"/>
    <n v="4"/>
    <n v="0"/>
    <n v="7512.2669999999998"/>
    <s v="southwest"/>
    <x v="0"/>
    <s v="male"/>
    <n v="3"/>
    <x v="1"/>
  </r>
  <r>
    <n v="515"/>
    <n v="39"/>
    <n v="28.3"/>
    <n v="1"/>
    <n v="1"/>
    <n v="21082.16"/>
    <s v="southwest"/>
    <x v="1"/>
    <s v="male"/>
    <n v="3"/>
    <x v="1"/>
  </r>
  <r>
    <n v="583"/>
    <n v="39"/>
    <n v="45.43"/>
    <n v="2"/>
    <n v="0"/>
    <n v="6356.2707"/>
    <s v="southeast"/>
    <x v="0"/>
    <s v="male"/>
    <n v="6"/>
    <x v="5"/>
  </r>
  <r>
    <n v="639"/>
    <n v="39"/>
    <n v="26.41"/>
    <n v="0"/>
    <n v="1"/>
    <n v="20149.322899999999"/>
    <s v="northeast"/>
    <x v="1"/>
    <s v="male"/>
    <n v="3"/>
    <x v="1"/>
  </r>
  <r>
    <n v="647"/>
    <n v="39"/>
    <n v="26.22"/>
    <n v="1"/>
    <n v="0"/>
    <n v="6123.5688"/>
    <s v="northwest"/>
    <x v="0"/>
    <s v="male"/>
    <n v="3"/>
    <x v="1"/>
  </r>
  <r>
    <n v="683"/>
    <n v="39"/>
    <n v="35.299999999999997"/>
    <n v="2"/>
    <n v="1"/>
    <n v="40103.89"/>
    <s v="southwest"/>
    <x v="1"/>
    <s v="male"/>
    <n v="5"/>
    <x v="2"/>
  </r>
  <r>
    <n v="757"/>
    <n v="39"/>
    <n v="22.8"/>
    <n v="3"/>
    <n v="0"/>
    <n v="7985.8149999999996"/>
    <s v="northeast"/>
    <x v="0"/>
    <s v="female"/>
    <n v="2"/>
    <x v="3"/>
  </r>
  <r>
    <n v="791"/>
    <n v="39"/>
    <n v="41.8"/>
    <n v="0"/>
    <n v="0"/>
    <n v="5662.2250000000004"/>
    <s v="southeast"/>
    <x v="0"/>
    <s v="female"/>
    <n v="6"/>
    <x v="5"/>
  </r>
  <r>
    <n v="795"/>
    <n v="39"/>
    <n v="31.92"/>
    <n v="2"/>
    <n v="0"/>
    <n v="7209.4917999999998"/>
    <s v="northwest"/>
    <x v="0"/>
    <s v="female"/>
    <n v="4"/>
    <x v="0"/>
  </r>
  <r>
    <n v="830"/>
    <n v="39"/>
    <n v="21.85"/>
    <n v="1"/>
    <n v="0"/>
    <n v="6117.4944999999998"/>
    <s v="northwest"/>
    <x v="0"/>
    <s v="male"/>
    <n v="2"/>
    <x v="3"/>
  </r>
  <r>
    <n v="932"/>
    <n v="39"/>
    <n v="32.5"/>
    <n v="1"/>
    <n v="0"/>
    <n v="6238.2979999999998"/>
    <s v="southwest"/>
    <x v="0"/>
    <s v="female"/>
    <n v="4"/>
    <x v="0"/>
  </r>
  <r>
    <n v="938"/>
    <n v="39"/>
    <n v="24.225000000000001"/>
    <n v="5"/>
    <n v="0"/>
    <n v="8965.7957499999993"/>
    <s v="northwest"/>
    <x v="0"/>
    <s v="female"/>
    <n v="2"/>
    <x v="3"/>
  </r>
  <r>
    <n v="970"/>
    <n v="39"/>
    <n v="34.32"/>
    <n v="5"/>
    <n v="0"/>
    <n v="8596.8277999999991"/>
    <s v="southeast"/>
    <x v="0"/>
    <s v="female"/>
    <n v="4"/>
    <x v="0"/>
  </r>
  <r>
    <n v="996"/>
    <n v="39"/>
    <n v="23.274999999999999"/>
    <n v="3"/>
    <n v="0"/>
    <n v="7986.4752500000004"/>
    <s v="northeast"/>
    <x v="0"/>
    <s v="female"/>
    <n v="2"/>
    <x v="3"/>
  </r>
  <r>
    <n v="997"/>
    <n v="39"/>
    <n v="34.1"/>
    <n v="3"/>
    <n v="0"/>
    <n v="7418.5219999999999"/>
    <s v="southwest"/>
    <x v="0"/>
    <s v="female"/>
    <n v="4"/>
    <x v="0"/>
  </r>
  <r>
    <n v="1068"/>
    <n v="39"/>
    <n v="42.655000000000001"/>
    <n v="0"/>
    <n v="0"/>
    <n v="5757.41345"/>
    <s v="northeast"/>
    <x v="0"/>
    <s v="male"/>
    <n v="6"/>
    <x v="5"/>
  </r>
  <r>
    <n v="1086"/>
    <n v="39"/>
    <n v="18.3"/>
    <n v="5"/>
    <n v="1"/>
    <n v="19023.259999999998"/>
    <s v="southwest"/>
    <x v="1"/>
    <s v="female"/>
    <n v="1"/>
    <x v="4"/>
  </r>
  <r>
    <n v="1131"/>
    <n v="39"/>
    <n v="23.87"/>
    <n v="5"/>
    <n v="0"/>
    <n v="8582.3022999999994"/>
    <s v="southeast"/>
    <x v="0"/>
    <s v="female"/>
    <n v="2"/>
    <x v="3"/>
  </r>
  <r>
    <n v="1144"/>
    <n v="39"/>
    <n v="32.340000000000003"/>
    <n v="2"/>
    <n v="0"/>
    <n v="6338.0756000000001"/>
    <s v="southeast"/>
    <x v="0"/>
    <s v="male"/>
    <n v="4"/>
    <x v="0"/>
  </r>
  <r>
    <n v="1212"/>
    <n v="39"/>
    <n v="34.1"/>
    <n v="2"/>
    <n v="0"/>
    <n v="23563.016179999999"/>
    <s v="southeast"/>
    <x v="0"/>
    <s v="male"/>
    <n v="4"/>
    <x v="0"/>
  </r>
  <r>
    <n v="1279"/>
    <n v="39"/>
    <n v="29.925000000000001"/>
    <n v="1"/>
    <n v="1"/>
    <n v="22462.043750000001"/>
    <s v="northeast"/>
    <x v="1"/>
    <s v="male"/>
    <n v="4"/>
    <x v="0"/>
  </r>
  <r>
    <n v="1320"/>
    <n v="39"/>
    <n v="26.315000000000001"/>
    <n v="2"/>
    <n v="0"/>
    <n v="7201.7008500000002"/>
    <s v="northwest"/>
    <x v="0"/>
    <s v="female"/>
    <n v="3"/>
    <x v="1"/>
  </r>
  <r>
    <n v="55"/>
    <n v="40"/>
    <n v="28.69"/>
    <n v="3"/>
    <n v="0"/>
    <n v="8059.6791000000003"/>
    <s v="northwest"/>
    <x v="0"/>
    <s v="female"/>
    <n v="3"/>
    <x v="1"/>
  </r>
  <r>
    <n v="68"/>
    <n v="40"/>
    <n v="26.315000000000001"/>
    <n v="1"/>
    <n v="0"/>
    <n v="6389.3778499999999"/>
    <s v="northwest"/>
    <x v="0"/>
    <s v="male"/>
    <n v="3"/>
    <x v="1"/>
  </r>
  <r>
    <n v="69"/>
    <n v="40"/>
    <n v="36.19"/>
    <n v="0"/>
    <n v="0"/>
    <n v="5920.1040999999996"/>
    <s v="southeast"/>
    <x v="0"/>
    <s v="female"/>
    <n v="5"/>
    <x v="2"/>
  </r>
  <r>
    <n v="155"/>
    <n v="40"/>
    <n v="25.46"/>
    <n v="1"/>
    <n v="0"/>
    <n v="7077.1894000000002"/>
    <s v="northeast"/>
    <x v="0"/>
    <s v="female"/>
    <n v="3"/>
    <x v="1"/>
  </r>
  <r>
    <n v="210"/>
    <n v="40"/>
    <n v="41.23"/>
    <n v="1"/>
    <n v="0"/>
    <n v="6610.1097"/>
    <s v="northeast"/>
    <x v="0"/>
    <s v="male"/>
    <n v="6"/>
    <x v="5"/>
  </r>
  <r>
    <n v="212"/>
    <n v="40"/>
    <n v="30.875"/>
    <n v="4"/>
    <n v="0"/>
    <n v="8162.7162500000004"/>
    <s v="northwest"/>
    <x v="0"/>
    <s v="male"/>
    <n v="4"/>
    <x v="0"/>
  </r>
  <r>
    <n v="236"/>
    <n v="40"/>
    <n v="22.22"/>
    <n v="2"/>
    <n v="1"/>
    <n v="19444.265800000001"/>
    <s v="southeast"/>
    <x v="1"/>
    <s v="female"/>
    <n v="2"/>
    <x v="3"/>
  </r>
  <r>
    <n v="244"/>
    <n v="40"/>
    <n v="35.299999999999997"/>
    <n v="3"/>
    <n v="0"/>
    <n v="7196.8670000000002"/>
    <s v="southwest"/>
    <x v="0"/>
    <s v="male"/>
    <n v="5"/>
    <x v="2"/>
  </r>
  <r>
    <n v="267"/>
    <n v="40"/>
    <n v="19.8"/>
    <n v="1"/>
    <n v="1"/>
    <n v="17179.522000000001"/>
    <s v="southeast"/>
    <x v="1"/>
    <s v="male"/>
    <n v="2"/>
    <x v="3"/>
  </r>
  <r>
    <n v="281"/>
    <n v="40"/>
    <n v="28.12"/>
    <n v="1"/>
    <n v="1"/>
    <n v="22331.566800000001"/>
    <s v="northeast"/>
    <x v="1"/>
    <s v="female"/>
    <n v="3"/>
    <x v="1"/>
  </r>
  <r>
    <n v="326"/>
    <n v="40"/>
    <n v="34.104999999999997"/>
    <n v="1"/>
    <n v="0"/>
    <n v="6600.2059499999996"/>
    <s v="northeast"/>
    <x v="0"/>
    <s v="male"/>
    <n v="4"/>
    <x v="0"/>
  </r>
  <r>
    <n v="423"/>
    <n v="40"/>
    <n v="32.774999999999999"/>
    <n v="1"/>
    <n v="1"/>
    <n v="39125.332249999999"/>
    <s v="northeast"/>
    <x v="1"/>
    <s v="male"/>
    <n v="4"/>
    <x v="0"/>
  </r>
  <r>
    <n v="449"/>
    <n v="40"/>
    <n v="29.6"/>
    <n v="0"/>
    <n v="0"/>
    <n v="5910.9440000000004"/>
    <s v="southwest"/>
    <x v="0"/>
    <s v="female"/>
    <n v="3"/>
    <x v="1"/>
  </r>
  <r>
    <n v="460"/>
    <n v="40"/>
    <n v="33"/>
    <n v="3"/>
    <n v="0"/>
    <n v="7682.67"/>
    <s v="southeast"/>
    <x v="0"/>
    <s v="female"/>
    <n v="4"/>
    <x v="0"/>
  </r>
  <r>
    <n v="634"/>
    <n v="40"/>
    <n v="22.704999999999998"/>
    <n v="2"/>
    <n v="0"/>
    <n v="7173.35995"/>
    <s v="northeast"/>
    <x v="0"/>
    <s v="male"/>
    <n v="2"/>
    <x v="3"/>
  </r>
  <r>
    <n v="648"/>
    <n v="40"/>
    <n v="23.37"/>
    <n v="3"/>
    <n v="0"/>
    <n v="8252.2842999999993"/>
    <s v="northeast"/>
    <x v="0"/>
    <s v="female"/>
    <n v="2"/>
    <x v="3"/>
  </r>
  <r>
    <n v="668"/>
    <n v="40"/>
    <n v="32.774999999999999"/>
    <n v="2"/>
    <n v="1"/>
    <n v="40003.332249999999"/>
    <s v="northwest"/>
    <x v="1"/>
    <s v="female"/>
    <n v="4"/>
    <x v="0"/>
  </r>
  <r>
    <n v="670"/>
    <n v="40"/>
    <n v="29.81"/>
    <n v="1"/>
    <n v="0"/>
    <n v="6500.2358999999997"/>
    <s v="southeast"/>
    <x v="0"/>
    <s v="female"/>
    <n v="3"/>
    <x v="1"/>
  </r>
  <r>
    <n v="688"/>
    <n v="40"/>
    <n v="41.69"/>
    <n v="0"/>
    <n v="0"/>
    <n v="5438.7491"/>
    <s v="southeast"/>
    <x v="0"/>
    <s v="male"/>
    <n v="6"/>
    <x v="5"/>
  </r>
  <r>
    <n v="777"/>
    <n v="40"/>
    <n v="32.299999999999997"/>
    <n v="2"/>
    <n v="0"/>
    <n v="6986.6970000000001"/>
    <s v="northwest"/>
    <x v="0"/>
    <s v="male"/>
    <n v="4"/>
    <x v="0"/>
  </r>
  <r>
    <n v="807"/>
    <n v="40"/>
    <n v="41.42"/>
    <n v="1"/>
    <n v="0"/>
    <n v="28476.734990000001"/>
    <s v="northwest"/>
    <x v="0"/>
    <s v="female"/>
    <n v="6"/>
    <x v="5"/>
  </r>
  <r>
    <n v="866"/>
    <n v="40"/>
    <n v="29.9"/>
    <n v="2"/>
    <n v="0"/>
    <n v="6600.3609999999999"/>
    <s v="southwest"/>
    <x v="0"/>
    <s v="male"/>
    <n v="3"/>
    <x v="1"/>
  </r>
  <r>
    <n v="1178"/>
    <n v="40"/>
    <n v="27.4"/>
    <n v="1"/>
    <n v="0"/>
    <n v="6496.8860000000004"/>
    <s v="southwest"/>
    <x v="0"/>
    <s v="female"/>
    <n v="3"/>
    <x v="1"/>
  </r>
  <r>
    <n v="1199"/>
    <n v="40"/>
    <n v="29.355"/>
    <n v="1"/>
    <n v="0"/>
    <n v="6393.6034499999996"/>
    <s v="northwest"/>
    <x v="0"/>
    <s v="male"/>
    <n v="3"/>
    <x v="1"/>
  </r>
  <r>
    <n v="1217"/>
    <n v="40"/>
    <n v="25.08"/>
    <n v="0"/>
    <n v="0"/>
    <n v="5415.6611999999996"/>
    <s v="southeast"/>
    <x v="0"/>
    <s v="male"/>
    <n v="3"/>
    <x v="1"/>
  </r>
  <r>
    <n v="1222"/>
    <n v="40"/>
    <n v="24.97"/>
    <n v="2"/>
    <n v="0"/>
    <n v="6593.5083000000004"/>
    <s v="southeast"/>
    <x v="0"/>
    <s v="male"/>
    <n v="3"/>
    <x v="1"/>
  </r>
  <r>
    <n v="1254"/>
    <n v="40"/>
    <n v="29.3"/>
    <n v="4"/>
    <n v="0"/>
    <n v="15828.82173"/>
    <s v="southwest"/>
    <x v="0"/>
    <s v="female"/>
    <n v="3"/>
    <x v="1"/>
  </r>
  <r>
    <n v="43"/>
    <n v="41"/>
    <n v="21.78"/>
    <n v="1"/>
    <n v="0"/>
    <n v="6272.4772000000003"/>
    <s v="southeast"/>
    <x v="0"/>
    <s v="male"/>
    <n v="2"/>
    <x v="3"/>
  </r>
  <r>
    <n v="80"/>
    <n v="41"/>
    <n v="32.965000000000003"/>
    <n v="0"/>
    <n v="0"/>
    <n v="6571.0243499999997"/>
    <s v="northwest"/>
    <x v="0"/>
    <s v="female"/>
    <n v="4"/>
    <x v="0"/>
  </r>
  <r>
    <n v="101"/>
    <n v="41"/>
    <n v="31.6"/>
    <n v="0"/>
    <n v="0"/>
    <n v="6186.1270000000004"/>
    <s v="southwest"/>
    <x v="0"/>
    <s v="female"/>
    <n v="4"/>
    <x v="0"/>
  </r>
  <r>
    <n v="180"/>
    <n v="41"/>
    <n v="33.155000000000001"/>
    <n v="3"/>
    <n v="0"/>
    <n v="8538.28845"/>
    <s v="northeast"/>
    <x v="0"/>
    <s v="female"/>
    <n v="4"/>
    <x v="0"/>
  </r>
  <r>
    <n v="189"/>
    <n v="41"/>
    <n v="32.200000000000003"/>
    <n v="1"/>
    <n v="0"/>
    <n v="6775.9610000000002"/>
    <s v="southwest"/>
    <x v="0"/>
    <s v="female"/>
    <n v="4"/>
    <x v="0"/>
  </r>
  <r>
    <n v="216"/>
    <n v="41"/>
    <n v="37.1"/>
    <n v="2"/>
    <n v="0"/>
    <n v="7371.7719999999999"/>
    <s v="southwest"/>
    <x v="0"/>
    <s v="female"/>
    <n v="5"/>
    <x v="2"/>
  </r>
  <r>
    <n v="229"/>
    <n v="41"/>
    <n v="31.635000000000002"/>
    <n v="1"/>
    <n v="0"/>
    <n v="7358.1756500000001"/>
    <s v="northeast"/>
    <x v="0"/>
    <s v="female"/>
    <n v="4"/>
    <x v="0"/>
  </r>
  <r>
    <n v="273"/>
    <n v="41"/>
    <n v="37.049999999999997"/>
    <n v="2"/>
    <n v="0"/>
    <n v="7265.7025000000003"/>
    <s v="northwest"/>
    <x v="0"/>
    <s v="male"/>
    <n v="5"/>
    <x v="2"/>
  </r>
  <r>
    <n v="310"/>
    <n v="41"/>
    <n v="33.06"/>
    <n v="2"/>
    <n v="0"/>
    <n v="7749.1563999999998"/>
    <s v="northwest"/>
    <x v="0"/>
    <s v="female"/>
    <n v="4"/>
    <x v="0"/>
  </r>
  <r>
    <n v="568"/>
    <n v="41"/>
    <n v="30.59"/>
    <n v="2"/>
    <n v="0"/>
    <n v="7256.7231000000002"/>
    <s v="northwest"/>
    <x v="0"/>
    <s v="male"/>
    <n v="4"/>
    <x v="0"/>
  </r>
  <r>
    <n v="595"/>
    <n v="41"/>
    <n v="40.26"/>
    <n v="0"/>
    <n v="0"/>
    <n v="5709.1643999999997"/>
    <s v="southeast"/>
    <x v="0"/>
    <s v="male"/>
    <n v="6"/>
    <x v="5"/>
  </r>
  <r>
    <n v="674"/>
    <n v="41"/>
    <n v="31.02"/>
    <n v="0"/>
    <n v="0"/>
    <n v="6185.3208000000004"/>
    <s v="southeast"/>
    <x v="0"/>
    <s v="female"/>
    <n v="4"/>
    <x v="0"/>
  </r>
  <r>
    <n v="698"/>
    <n v="41"/>
    <n v="35.75"/>
    <n v="1"/>
    <n v="1"/>
    <n v="40273.645499999999"/>
    <s v="southeast"/>
    <x v="1"/>
    <s v="male"/>
    <n v="5"/>
    <x v="2"/>
  </r>
  <r>
    <n v="727"/>
    <n v="41"/>
    <n v="28.405000000000001"/>
    <n v="1"/>
    <n v="0"/>
    <n v="6664.68595"/>
    <s v="northwest"/>
    <x v="0"/>
    <s v="male"/>
    <n v="3"/>
    <x v="1"/>
  </r>
  <r>
    <n v="730"/>
    <n v="41"/>
    <n v="36.08"/>
    <n v="1"/>
    <n v="0"/>
    <n v="6781.3541999999998"/>
    <s v="southeast"/>
    <x v="0"/>
    <s v="female"/>
    <n v="5"/>
    <x v="2"/>
  </r>
  <r>
    <n v="775"/>
    <n v="41"/>
    <n v="34.200000000000003"/>
    <n v="2"/>
    <n v="0"/>
    <n v="7261.741"/>
    <s v="northwest"/>
    <x v="0"/>
    <s v="male"/>
    <n v="4"/>
    <x v="0"/>
  </r>
  <r>
    <n v="829"/>
    <n v="41"/>
    <n v="30.78"/>
    <n v="3"/>
    <n v="1"/>
    <n v="39597.407200000001"/>
    <s v="northeast"/>
    <x v="1"/>
    <s v="male"/>
    <n v="4"/>
    <x v="0"/>
  </r>
  <r>
    <n v="879"/>
    <n v="41"/>
    <n v="28.8"/>
    <n v="1"/>
    <n v="0"/>
    <n v="6282.2349999999997"/>
    <s v="southwest"/>
    <x v="0"/>
    <s v="male"/>
    <n v="3"/>
    <x v="1"/>
  </r>
  <r>
    <n v="930"/>
    <n v="41"/>
    <n v="34.21"/>
    <n v="1"/>
    <n v="0"/>
    <n v="6289.7548999999999"/>
    <s v="southeast"/>
    <x v="0"/>
    <s v="male"/>
    <n v="4"/>
    <x v="0"/>
  </r>
  <r>
    <n v="1117"/>
    <n v="41"/>
    <n v="29.64"/>
    <n v="5"/>
    <n v="0"/>
    <n v="9222.4025999999994"/>
    <s v="northeast"/>
    <x v="0"/>
    <s v="male"/>
    <n v="3"/>
    <x v="1"/>
  </r>
  <r>
    <n v="1142"/>
    <n v="41"/>
    <n v="32.6"/>
    <n v="3"/>
    <n v="0"/>
    <n v="7954.5169999999998"/>
    <s v="southwest"/>
    <x v="0"/>
    <s v="female"/>
    <n v="4"/>
    <x v="0"/>
  </r>
  <r>
    <n v="1165"/>
    <n v="41"/>
    <n v="28.31"/>
    <n v="1"/>
    <n v="0"/>
    <n v="7153.5538999999999"/>
    <s v="northwest"/>
    <x v="0"/>
    <s v="female"/>
    <n v="3"/>
    <x v="1"/>
  </r>
  <r>
    <n v="1192"/>
    <n v="41"/>
    <n v="21.754999999999999"/>
    <n v="1"/>
    <n v="0"/>
    <n v="13725.47184"/>
    <s v="northeast"/>
    <x v="0"/>
    <s v="female"/>
    <n v="2"/>
    <x v="3"/>
  </r>
  <r>
    <n v="1198"/>
    <n v="41"/>
    <n v="33.549999999999997"/>
    <n v="0"/>
    <n v="0"/>
    <n v="5699.8374999999996"/>
    <s v="southeast"/>
    <x v="0"/>
    <s v="male"/>
    <n v="4"/>
    <x v="0"/>
  </r>
  <r>
    <n v="1225"/>
    <n v="41"/>
    <n v="23.94"/>
    <n v="1"/>
    <n v="0"/>
    <n v="6858.4795999999997"/>
    <s v="northeast"/>
    <x v="0"/>
    <s v="male"/>
    <n v="2"/>
    <x v="3"/>
  </r>
  <r>
    <n v="1263"/>
    <n v="41"/>
    <n v="28.05"/>
    <n v="1"/>
    <n v="0"/>
    <n v="6770.1925000000001"/>
    <s v="southeast"/>
    <x v="0"/>
    <s v="female"/>
    <n v="3"/>
    <x v="1"/>
  </r>
  <r>
    <n v="1310"/>
    <n v="41"/>
    <n v="32.200000000000003"/>
    <n v="2"/>
    <n v="0"/>
    <n v="6875.9610000000002"/>
    <s v="southwest"/>
    <x v="0"/>
    <s v="male"/>
    <n v="4"/>
    <x v="0"/>
  </r>
  <r>
    <n v="154"/>
    <n v="42"/>
    <n v="23.37"/>
    <n v="0"/>
    <n v="1"/>
    <n v="19964.746299999999"/>
    <s v="northeast"/>
    <x v="1"/>
    <s v="female"/>
    <n v="2"/>
    <x v="3"/>
  </r>
  <r>
    <n v="161"/>
    <n v="42"/>
    <n v="26.6"/>
    <n v="0"/>
    <n v="1"/>
    <n v="21348.705999999998"/>
    <s v="northwest"/>
    <x v="1"/>
    <s v="female"/>
    <n v="3"/>
    <x v="1"/>
  </r>
  <r>
    <n v="225"/>
    <n v="42"/>
    <n v="24.64"/>
    <n v="0"/>
    <n v="1"/>
    <n v="19515.5416"/>
    <s v="southeast"/>
    <x v="1"/>
    <s v="male"/>
    <n v="2"/>
    <x v="3"/>
  </r>
  <r>
    <n v="231"/>
    <n v="42"/>
    <n v="36.195"/>
    <n v="1"/>
    <n v="0"/>
    <n v="7443.6430499999997"/>
    <s v="northwest"/>
    <x v="0"/>
    <s v="female"/>
    <n v="5"/>
    <x v="2"/>
  </r>
  <r>
    <n v="368"/>
    <n v="42"/>
    <n v="24.984999999999999"/>
    <n v="2"/>
    <n v="0"/>
    <n v="8017.0611500000005"/>
    <s v="northwest"/>
    <x v="0"/>
    <s v="female"/>
    <n v="3"/>
    <x v="1"/>
  </r>
  <r>
    <n v="373"/>
    <n v="42"/>
    <n v="33.155000000000001"/>
    <n v="1"/>
    <n v="0"/>
    <n v="7639.4174499999999"/>
    <s v="northeast"/>
    <x v="0"/>
    <s v="female"/>
    <n v="4"/>
    <x v="0"/>
  </r>
  <r>
    <n v="433"/>
    <n v="42"/>
    <n v="26.9"/>
    <n v="0"/>
    <n v="0"/>
    <n v="5969.723"/>
    <s v="southwest"/>
    <x v="0"/>
    <s v="male"/>
    <n v="3"/>
    <x v="1"/>
  </r>
  <r>
    <n v="462"/>
    <n v="42"/>
    <n v="30"/>
    <n v="0"/>
    <n v="1"/>
    <n v="22144.031999999999"/>
    <s v="southwest"/>
    <x v="1"/>
    <s v="male"/>
    <n v="4"/>
    <x v="0"/>
  </r>
  <r>
    <n v="525"/>
    <n v="42"/>
    <n v="26.07"/>
    <n v="1"/>
    <n v="1"/>
    <n v="38245.593269999998"/>
    <s v="southeast"/>
    <x v="1"/>
    <s v="male"/>
    <n v="3"/>
    <x v="1"/>
  </r>
  <r>
    <n v="597"/>
    <n v="42"/>
    <n v="29.48"/>
    <n v="2"/>
    <n v="0"/>
    <n v="7640.3091999999997"/>
    <s v="southeast"/>
    <x v="0"/>
    <s v="female"/>
    <n v="3"/>
    <x v="1"/>
  </r>
  <r>
    <n v="642"/>
    <n v="42"/>
    <n v="28.31"/>
    <n v="3"/>
    <n v="1"/>
    <n v="32787.458590000002"/>
    <s v="northwest"/>
    <x v="1"/>
    <s v="male"/>
    <n v="3"/>
    <x v="1"/>
  </r>
  <r>
    <n v="687"/>
    <n v="42"/>
    <n v="26.125"/>
    <n v="2"/>
    <n v="0"/>
    <n v="7729.6457499999997"/>
    <s v="northeast"/>
    <x v="0"/>
    <s v="male"/>
    <n v="3"/>
    <x v="1"/>
  </r>
  <r>
    <n v="768"/>
    <n v="42"/>
    <n v="29"/>
    <n v="1"/>
    <n v="0"/>
    <n v="7050.6419999999998"/>
    <s v="southwest"/>
    <x v="0"/>
    <s v="female"/>
    <n v="3"/>
    <x v="1"/>
  </r>
  <r>
    <n v="801"/>
    <n v="42"/>
    <n v="26.18"/>
    <n v="1"/>
    <n v="0"/>
    <n v="7046.7222000000002"/>
    <s v="southeast"/>
    <x v="0"/>
    <s v="female"/>
    <n v="3"/>
    <x v="1"/>
  </r>
  <r>
    <n v="836"/>
    <n v="42"/>
    <n v="35.97"/>
    <n v="2"/>
    <n v="0"/>
    <n v="7160.3302999999996"/>
    <s v="southeast"/>
    <x v="0"/>
    <s v="male"/>
    <n v="5"/>
    <x v="2"/>
  </r>
  <r>
    <n v="873"/>
    <n v="42"/>
    <n v="24.86"/>
    <n v="0"/>
    <n v="0"/>
    <n v="5966.8873999999996"/>
    <s v="southeast"/>
    <x v="0"/>
    <s v="male"/>
    <n v="2"/>
    <x v="3"/>
  </r>
  <r>
    <n v="947"/>
    <n v="42"/>
    <n v="35.799999999999997"/>
    <n v="2"/>
    <n v="0"/>
    <n v="7160.0940000000001"/>
    <s v="southwest"/>
    <x v="0"/>
    <s v="male"/>
    <n v="5"/>
    <x v="2"/>
  </r>
  <r>
    <n v="949"/>
    <n v="42"/>
    <n v="31.254999999999999"/>
    <n v="0"/>
    <n v="0"/>
    <n v="6358.7764500000003"/>
    <s v="northwest"/>
    <x v="0"/>
    <s v="male"/>
    <n v="4"/>
    <x v="0"/>
  </r>
  <r>
    <n v="1066"/>
    <n v="42"/>
    <n v="25.3"/>
    <n v="1"/>
    <n v="0"/>
    <n v="7045.4989999999998"/>
    <s v="southwest"/>
    <x v="0"/>
    <s v="female"/>
    <n v="3"/>
    <x v="1"/>
  </r>
  <r>
    <n v="1150"/>
    <n v="42"/>
    <n v="34.1"/>
    <n v="0"/>
    <n v="0"/>
    <n v="5979.7309999999998"/>
    <s v="southwest"/>
    <x v="0"/>
    <s v="male"/>
    <n v="4"/>
    <x v="0"/>
  </r>
  <r>
    <n v="1181"/>
    <n v="42"/>
    <n v="41.325000000000003"/>
    <n v="1"/>
    <n v="0"/>
    <n v="7650.7737500000003"/>
    <s v="northeast"/>
    <x v="0"/>
    <s v="female"/>
    <n v="6"/>
    <x v="5"/>
  </r>
  <r>
    <n v="1228"/>
    <n v="42"/>
    <n v="37.18"/>
    <n v="2"/>
    <n v="0"/>
    <n v="7162.0122000000001"/>
    <s v="southeast"/>
    <x v="0"/>
    <s v="male"/>
    <n v="5"/>
    <x v="2"/>
  </r>
  <r>
    <n v="1256"/>
    <n v="42"/>
    <n v="37.9"/>
    <n v="0"/>
    <n v="0"/>
    <n v="6474.0129999999999"/>
    <s v="southwest"/>
    <x v="0"/>
    <s v="female"/>
    <n v="5"/>
    <x v="2"/>
  </r>
  <r>
    <n v="1305"/>
    <n v="42"/>
    <n v="24.605"/>
    <n v="2"/>
    <n v="1"/>
    <n v="21259.377949999998"/>
    <s v="northeast"/>
    <x v="1"/>
    <s v="male"/>
    <n v="2"/>
    <x v="3"/>
  </r>
  <r>
    <n v="1311"/>
    <n v="42"/>
    <n v="26.315000000000001"/>
    <n v="1"/>
    <n v="0"/>
    <n v="6940.90985"/>
    <s v="northwest"/>
    <x v="0"/>
    <s v="male"/>
    <n v="3"/>
    <x v="1"/>
  </r>
  <r>
    <n v="1324"/>
    <n v="42"/>
    <n v="40.369999999999997"/>
    <n v="2"/>
    <n v="1"/>
    <n v="43896.376300000004"/>
    <s v="southeast"/>
    <x v="1"/>
    <s v="female"/>
    <n v="6"/>
    <x v="5"/>
  </r>
  <r>
    <n v="1327"/>
    <n v="42"/>
    <n v="32.869999999999997"/>
    <n v="0"/>
    <n v="0"/>
    <n v="7050.0213000000003"/>
    <s v="northeast"/>
    <x v="0"/>
    <s v="female"/>
    <n v="4"/>
    <x v="0"/>
  </r>
  <r>
    <n v="61"/>
    <n v="43"/>
    <n v="27.36"/>
    <n v="3"/>
    <n v="0"/>
    <n v="8606.2173999999995"/>
    <s v="northeast"/>
    <x v="0"/>
    <s v="male"/>
    <n v="3"/>
    <x v="1"/>
  </r>
  <r>
    <n v="313"/>
    <n v="43"/>
    <n v="35.97"/>
    <n v="3"/>
    <n v="1"/>
    <n v="42124.515299999999"/>
    <s v="southeast"/>
    <x v="1"/>
    <s v="male"/>
    <n v="5"/>
    <x v="2"/>
  </r>
  <r>
    <n v="335"/>
    <n v="43"/>
    <n v="35.72"/>
    <n v="2"/>
    <n v="0"/>
    <n v="19144.576519999999"/>
    <s v="northeast"/>
    <x v="0"/>
    <s v="female"/>
    <n v="5"/>
    <x v="2"/>
  </r>
  <r>
    <n v="397"/>
    <n v="43"/>
    <n v="34.4"/>
    <n v="3"/>
    <n v="0"/>
    <n v="8522.0030000000006"/>
    <s v="southwest"/>
    <x v="0"/>
    <s v="female"/>
    <n v="4"/>
    <x v="0"/>
  </r>
  <r>
    <n v="416"/>
    <n v="43"/>
    <n v="35.64"/>
    <n v="1"/>
    <n v="0"/>
    <n v="7345.7266"/>
    <s v="southeast"/>
    <x v="0"/>
    <s v="female"/>
    <n v="5"/>
    <x v="2"/>
  </r>
  <r>
    <n v="502"/>
    <n v="43"/>
    <n v="26.03"/>
    <n v="0"/>
    <n v="0"/>
    <n v="6837.3687"/>
    <s v="northeast"/>
    <x v="0"/>
    <s v="male"/>
    <n v="3"/>
    <x v="1"/>
  </r>
  <r>
    <n v="550"/>
    <n v="43"/>
    <n v="46.2"/>
    <n v="0"/>
    <n v="1"/>
    <n v="45863.205000000002"/>
    <s v="southeast"/>
    <x v="1"/>
    <s v="female"/>
    <n v="6"/>
    <x v="5"/>
  </r>
  <r>
    <n v="599"/>
    <n v="43"/>
    <n v="32.6"/>
    <n v="2"/>
    <n v="0"/>
    <n v="7441.5010000000002"/>
    <s v="southwest"/>
    <x v="0"/>
    <s v="male"/>
    <n v="4"/>
    <x v="0"/>
  </r>
  <r>
    <n v="645"/>
    <n v="43"/>
    <n v="35.31"/>
    <n v="2"/>
    <n v="0"/>
    <n v="18806.145469999999"/>
    <s v="southeast"/>
    <x v="0"/>
    <s v="male"/>
    <n v="5"/>
    <x v="2"/>
  </r>
  <r>
    <n v="666"/>
    <n v="43"/>
    <n v="38.06"/>
    <n v="2"/>
    <n v="1"/>
    <n v="42560.430399999997"/>
    <s v="southeast"/>
    <x v="1"/>
    <s v="male"/>
    <n v="5"/>
    <x v="2"/>
  </r>
  <r>
    <n v="713"/>
    <n v="43"/>
    <n v="30.684999999999999"/>
    <n v="2"/>
    <n v="0"/>
    <n v="8310.8391499999998"/>
    <s v="northwest"/>
    <x v="0"/>
    <s v="female"/>
    <n v="4"/>
    <x v="0"/>
  </r>
  <r>
    <n v="874"/>
    <n v="43"/>
    <n v="30.1"/>
    <n v="1"/>
    <n v="0"/>
    <n v="6849.0259999999998"/>
    <s v="southwest"/>
    <x v="0"/>
    <s v="male"/>
    <n v="4"/>
    <x v="0"/>
  </r>
  <r>
    <n v="897"/>
    <n v="43"/>
    <n v="20.045000000000002"/>
    <n v="2"/>
    <n v="1"/>
    <n v="19798.054550000001"/>
    <s v="northeast"/>
    <x v="1"/>
    <s v="female"/>
    <n v="2"/>
    <x v="3"/>
  </r>
  <r>
    <n v="917"/>
    <n v="43"/>
    <n v="26.885000000000002"/>
    <n v="0"/>
    <n v="1"/>
    <n v="21774.32215"/>
    <s v="northwest"/>
    <x v="1"/>
    <s v="female"/>
    <n v="3"/>
    <x v="1"/>
  </r>
  <r>
    <n v="925"/>
    <n v="43"/>
    <n v="23.2"/>
    <n v="0"/>
    <n v="0"/>
    <n v="6250.4350000000004"/>
    <s v="southwest"/>
    <x v="0"/>
    <s v="male"/>
    <n v="2"/>
    <x v="3"/>
  </r>
  <r>
    <n v="959"/>
    <n v="43"/>
    <n v="34.96"/>
    <n v="1"/>
    <n v="1"/>
    <n v="41034.221400000002"/>
    <s v="northeast"/>
    <x v="1"/>
    <s v="male"/>
    <n v="5"/>
    <x v="2"/>
  </r>
  <r>
    <n v="987"/>
    <n v="43"/>
    <n v="30.114999999999998"/>
    <n v="3"/>
    <n v="0"/>
    <n v="8410.0468500000006"/>
    <s v="northwest"/>
    <x v="0"/>
    <s v="male"/>
    <n v="4"/>
    <x v="0"/>
  </r>
  <r>
    <n v="1012"/>
    <n v="43"/>
    <n v="20.13"/>
    <n v="2"/>
    <n v="1"/>
    <n v="18767.737700000001"/>
    <s v="southeast"/>
    <x v="1"/>
    <s v="male"/>
    <n v="2"/>
    <x v="3"/>
  </r>
  <r>
    <n v="1046"/>
    <n v="43"/>
    <n v="24.7"/>
    <n v="2"/>
    <n v="1"/>
    <n v="21880.82"/>
    <s v="northwest"/>
    <x v="1"/>
    <s v="female"/>
    <n v="2"/>
    <x v="3"/>
  </r>
  <r>
    <n v="1047"/>
    <n v="43"/>
    <n v="25.08"/>
    <n v="0"/>
    <n v="0"/>
    <n v="7325.0482000000002"/>
    <s v="northeast"/>
    <x v="0"/>
    <s v="female"/>
    <n v="3"/>
    <x v="1"/>
  </r>
  <r>
    <n v="1153"/>
    <n v="43"/>
    <n v="32.56"/>
    <n v="3"/>
    <n v="1"/>
    <n v="40941.285400000001"/>
    <s v="southeast"/>
    <x v="1"/>
    <s v="female"/>
    <n v="4"/>
    <x v="0"/>
  </r>
  <r>
    <n v="1161"/>
    <n v="43"/>
    <n v="34.58"/>
    <n v="1"/>
    <n v="0"/>
    <n v="7727.2532000000001"/>
    <s v="northwest"/>
    <x v="0"/>
    <s v="female"/>
    <n v="4"/>
    <x v="0"/>
  </r>
  <r>
    <n v="1172"/>
    <n v="43"/>
    <n v="26.7"/>
    <n v="2"/>
    <n v="1"/>
    <n v="22478.6"/>
    <s v="southwest"/>
    <x v="1"/>
    <s v="female"/>
    <n v="3"/>
    <x v="1"/>
  </r>
  <r>
    <n v="1189"/>
    <n v="43"/>
    <n v="25.27"/>
    <n v="1"/>
    <n v="1"/>
    <n v="21771.3423"/>
    <s v="northeast"/>
    <x v="1"/>
    <s v="female"/>
    <n v="3"/>
    <x v="1"/>
  </r>
  <r>
    <n v="1264"/>
    <n v="43"/>
    <n v="29.9"/>
    <n v="1"/>
    <n v="0"/>
    <n v="7337.7479999999996"/>
    <s v="southwest"/>
    <x v="0"/>
    <s v="female"/>
    <n v="3"/>
    <x v="1"/>
  </r>
  <r>
    <n v="1273"/>
    <n v="43"/>
    <n v="25.52"/>
    <n v="5"/>
    <n v="0"/>
    <n v="14478.33015"/>
    <s v="southeast"/>
    <x v="0"/>
    <s v="male"/>
    <n v="3"/>
    <x v="1"/>
  </r>
  <r>
    <n v="1304"/>
    <n v="43"/>
    <n v="27.8"/>
    <n v="0"/>
    <n v="1"/>
    <n v="37829.724199999997"/>
    <s v="southwest"/>
    <x v="1"/>
    <s v="male"/>
    <n v="3"/>
    <x v="1"/>
  </r>
  <r>
    <n v="75"/>
    <n v="44"/>
    <n v="27.4"/>
    <n v="2"/>
    <n v="0"/>
    <n v="7726.8540000000003"/>
    <s v="southwest"/>
    <x v="0"/>
    <s v="male"/>
    <n v="3"/>
    <x v="1"/>
  </r>
  <r>
    <n v="121"/>
    <n v="44"/>
    <n v="37.1"/>
    <n v="2"/>
    <n v="0"/>
    <n v="7740.3370000000004"/>
    <s v="southwest"/>
    <x v="0"/>
    <s v="male"/>
    <n v="5"/>
    <x v="2"/>
  </r>
  <r>
    <n v="124"/>
    <n v="44"/>
    <n v="31.35"/>
    <n v="1"/>
    <n v="1"/>
    <n v="39556.494500000001"/>
    <s v="northeast"/>
    <x v="1"/>
    <s v="male"/>
    <n v="4"/>
    <x v="0"/>
  </r>
  <r>
    <n v="156"/>
    <n v="44"/>
    <n v="39.520000000000003"/>
    <n v="0"/>
    <n v="0"/>
    <n v="6948.7007999999996"/>
    <s v="northwest"/>
    <x v="0"/>
    <s v="male"/>
    <n v="5"/>
    <x v="2"/>
  </r>
  <r>
    <n v="184"/>
    <n v="44"/>
    <n v="26.41"/>
    <n v="0"/>
    <n v="0"/>
    <n v="7419.4778999999999"/>
    <s v="northwest"/>
    <x v="0"/>
    <s v="female"/>
    <n v="3"/>
    <x v="1"/>
  </r>
  <r>
    <n v="185"/>
    <n v="44"/>
    <n v="30.69"/>
    <n v="2"/>
    <n v="0"/>
    <n v="7731.4270999999999"/>
    <s v="southeast"/>
    <x v="0"/>
    <s v="male"/>
    <n v="4"/>
    <x v="0"/>
  </r>
  <r>
    <n v="240"/>
    <n v="44"/>
    <n v="38.06"/>
    <n v="1"/>
    <n v="0"/>
    <n v="7152.6714000000002"/>
    <s v="southeast"/>
    <x v="0"/>
    <s v="male"/>
    <n v="5"/>
    <x v="2"/>
  </r>
  <r>
    <n v="319"/>
    <n v="44"/>
    <n v="27.645"/>
    <n v="0"/>
    <n v="0"/>
    <n v="7421.1945500000002"/>
    <s v="northwest"/>
    <x v="0"/>
    <s v="female"/>
    <n v="3"/>
    <x v="1"/>
  </r>
  <r>
    <n v="369"/>
    <n v="44"/>
    <n v="32.015000000000001"/>
    <n v="2"/>
    <n v="0"/>
    <n v="8116.2688500000004"/>
    <s v="northwest"/>
    <x v="0"/>
    <s v="male"/>
    <n v="4"/>
    <x v="0"/>
  </r>
  <r>
    <n v="385"/>
    <n v="44"/>
    <n v="22.135000000000002"/>
    <n v="2"/>
    <n v="0"/>
    <n v="8302.5356499999998"/>
    <s v="northeast"/>
    <x v="0"/>
    <s v="male"/>
    <n v="2"/>
    <x v="3"/>
  </r>
  <r>
    <n v="412"/>
    <n v="44"/>
    <n v="20.234999999999999"/>
    <n v="1"/>
    <n v="1"/>
    <n v="19594.809649999999"/>
    <s v="northeast"/>
    <x v="1"/>
    <s v="female"/>
    <n v="2"/>
    <x v="3"/>
  </r>
  <r>
    <n v="489"/>
    <n v="44"/>
    <n v="38.06"/>
    <n v="0"/>
    <n v="1"/>
    <n v="48885.135609999998"/>
    <s v="southeast"/>
    <x v="1"/>
    <s v="female"/>
    <n v="5"/>
    <x v="2"/>
  </r>
  <r>
    <n v="499"/>
    <n v="44"/>
    <n v="23.98"/>
    <n v="2"/>
    <n v="0"/>
    <n v="8211.1002000000008"/>
    <s v="southeast"/>
    <x v="0"/>
    <s v="female"/>
    <n v="2"/>
    <x v="3"/>
  </r>
  <r>
    <n v="630"/>
    <n v="44"/>
    <n v="38.950000000000003"/>
    <n v="0"/>
    <n v="1"/>
    <n v="42983.458500000001"/>
    <s v="northwest"/>
    <x v="1"/>
    <s v="female"/>
    <n v="5"/>
    <x v="2"/>
  </r>
  <r>
    <n v="675"/>
    <n v="44"/>
    <n v="43.89"/>
    <n v="2"/>
    <n v="1"/>
    <n v="46200.985099999998"/>
    <s v="southeast"/>
    <x v="1"/>
    <s v="female"/>
    <n v="6"/>
    <x v="5"/>
  </r>
  <r>
    <n v="773"/>
    <n v="44"/>
    <n v="36.479999999999997"/>
    <n v="0"/>
    <n v="0"/>
    <n v="12797.20962"/>
    <s v="northeast"/>
    <x v="0"/>
    <s v="female"/>
    <n v="5"/>
    <x v="2"/>
  </r>
  <r>
    <n v="824"/>
    <n v="44"/>
    <n v="29.81"/>
    <n v="2"/>
    <n v="0"/>
    <n v="8219.2039000000004"/>
    <s v="southeast"/>
    <x v="0"/>
    <s v="female"/>
    <n v="3"/>
    <x v="1"/>
  </r>
  <r>
    <n v="875"/>
    <n v="44"/>
    <n v="21.85"/>
    <n v="3"/>
    <n v="0"/>
    <n v="8891.1394999999993"/>
    <s v="northeast"/>
    <x v="0"/>
    <s v="male"/>
    <n v="2"/>
    <x v="3"/>
  </r>
  <r>
    <n v="908"/>
    <n v="44"/>
    <n v="32.340000000000003"/>
    <n v="1"/>
    <n v="0"/>
    <n v="7633.7205999999996"/>
    <s v="southeast"/>
    <x v="0"/>
    <s v="female"/>
    <n v="4"/>
    <x v="0"/>
  </r>
  <r>
    <n v="914"/>
    <n v="44"/>
    <n v="27.5"/>
    <n v="1"/>
    <n v="0"/>
    <n v="7626.9930000000004"/>
    <s v="southwest"/>
    <x v="0"/>
    <s v="female"/>
    <n v="3"/>
    <x v="1"/>
  </r>
  <r>
    <n v="937"/>
    <n v="44"/>
    <n v="29.734999999999999"/>
    <n v="2"/>
    <n v="0"/>
    <n v="32108.662820000001"/>
    <s v="northeast"/>
    <x v="0"/>
    <s v="male"/>
    <n v="3"/>
    <x v="1"/>
  </r>
  <r>
    <n v="954"/>
    <n v="44"/>
    <n v="30.2"/>
    <n v="2"/>
    <n v="1"/>
    <n v="38998.546000000002"/>
    <s v="southwest"/>
    <x v="1"/>
    <s v="male"/>
    <n v="4"/>
    <x v="0"/>
  </r>
  <r>
    <n v="968"/>
    <n v="44"/>
    <n v="25.364999999999998"/>
    <n v="1"/>
    <n v="0"/>
    <n v="7518.0253499999999"/>
    <s v="northwest"/>
    <x v="0"/>
    <s v="male"/>
    <n v="3"/>
    <x v="1"/>
  </r>
  <r>
    <n v="986"/>
    <n v="44"/>
    <n v="25.8"/>
    <n v="1"/>
    <n v="0"/>
    <n v="7624.63"/>
    <s v="southwest"/>
    <x v="0"/>
    <s v="female"/>
    <n v="3"/>
    <x v="1"/>
  </r>
  <r>
    <n v="1051"/>
    <n v="44"/>
    <n v="36.954999999999998"/>
    <n v="1"/>
    <n v="0"/>
    <n v="8023.1354499999998"/>
    <s v="northwest"/>
    <x v="0"/>
    <s v="female"/>
    <n v="5"/>
    <x v="2"/>
  </r>
  <r>
    <n v="1137"/>
    <n v="44"/>
    <n v="25"/>
    <n v="1"/>
    <n v="0"/>
    <n v="7623.518"/>
    <s v="southwest"/>
    <x v="0"/>
    <s v="female"/>
    <n v="3"/>
    <x v="1"/>
  </r>
  <r>
    <n v="1290"/>
    <n v="44"/>
    <n v="34.32"/>
    <n v="1"/>
    <n v="0"/>
    <n v="7147.4727999999996"/>
    <s v="southeast"/>
    <x v="0"/>
    <s v="male"/>
    <n v="4"/>
    <x v="0"/>
  </r>
  <r>
    <n v="82"/>
    <n v="45"/>
    <n v="38.284999999999997"/>
    <n v="0"/>
    <n v="0"/>
    <n v="7935.29115"/>
    <s v="northeast"/>
    <x v="0"/>
    <s v="female"/>
    <n v="5"/>
    <x v="2"/>
  </r>
  <r>
    <n v="86"/>
    <n v="45"/>
    <n v="22.895"/>
    <n v="2"/>
    <n v="1"/>
    <n v="21098.554049999999"/>
    <s v="northwest"/>
    <x v="1"/>
    <s v="male"/>
    <n v="2"/>
    <x v="3"/>
  </r>
  <r>
    <n v="198"/>
    <n v="45"/>
    <n v="28.6"/>
    <n v="2"/>
    <n v="0"/>
    <n v="8516.8289999999997"/>
    <s v="southeast"/>
    <x v="0"/>
    <s v="female"/>
    <n v="3"/>
    <x v="1"/>
  </r>
  <r>
    <n v="215"/>
    <n v="45"/>
    <n v="30.9"/>
    <n v="2"/>
    <n v="0"/>
    <n v="8520.0259999999998"/>
    <s v="southwest"/>
    <x v="0"/>
    <s v="female"/>
    <n v="4"/>
    <x v="0"/>
  </r>
  <r>
    <n v="269"/>
    <n v="45"/>
    <n v="30.2"/>
    <n v="1"/>
    <n v="0"/>
    <n v="7441.0529999999999"/>
    <s v="southwest"/>
    <x v="0"/>
    <s v="male"/>
    <n v="4"/>
    <x v="0"/>
  </r>
  <r>
    <n v="328"/>
    <n v="45"/>
    <n v="36.479999999999997"/>
    <n v="2"/>
    <n v="1"/>
    <n v="42760.502200000003"/>
    <s v="northwest"/>
    <x v="1"/>
    <s v="male"/>
    <n v="5"/>
    <x v="2"/>
  </r>
  <r>
    <n v="426"/>
    <n v="45"/>
    <n v="24.31"/>
    <n v="5"/>
    <n v="0"/>
    <n v="9788.8659000000007"/>
    <s v="southeast"/>
    <x v="0"/>
    <s v="male"/>
    <n v="2"/>
    <x v="3"/>
  </r>
  <r>
    <n v="446"/>
    <n v="45"/>
    <n v="33.1"/>
    <n v="0"/>
    <n v="0"/>
    <n v="7345.0839999999998"/>
    <s v="southwest"/>
    <x v="0"/>
    <s v="female"/>
    <n v="4"/>
    <x v="0"/>
  </r>
  <r>
    <n v="498"/>
    <n v="45"/>
    <n v="28.7"/>
    <n v="2"/>
    <n v="0"/>
    <n v="8027.9679999999998"/>
    <s v="southwest"/>
    <x v="0"/>
    <s v="male"/>
    <n v="3"/>
    <x v="1"/>
  </r>
  <r>
    <n v="518"/>
    <n v="45"/>
    <n v="30.495000000000001"/>
    <n v="2"/>
    <n v="0"/>
    <n v="8413.4630500000003"/>
    <s v="northwest"/>
    <x v="0"/>
    <s v="male"/>
    <n v="4"/>
    <x v="0"/>
  </r>
  <r>
    <n v="654"/>
    <n v="45"/>
    <n v="36.299999999999997"/>
    <n v="2"/>
    <n v="0"/>
    <n v="8527.5319999999992"/>
    <s v="southeast"/>
    <x v="0"/>
    <s v="female"/>
    <n v="5"/>
    <x v="2"/>
  </r>
  <r>
    <n v="676"/>
    <n v="45"/>
    <n v="21.375"/>
    <n v="0"/>
    <n v="0"/>
    <n v="7222.7862500000001"/>
    <s v="northwest"/>
    <x v="0"/>
    <s v="male"/>
    <n v="2"/>
    <x v="3"/>
  </r>
  <r>
    <n v="741"/>
    <n v="45"/>
    <n v="24.035"/>
    <n v="2"/>
    <n v="0"/>
    <n v="8604.4836500000001"/>
    <s v="northeast"/>
    <x v="0"/>
    <s v="male"/>
    <n v="2"/>
    <x v="3"/>
  </r>
  <r>
    <n v="765"/>
    <n v="45"/>
    <n v="25.175000000000001"/>
    <n v="2"/>
    <n v="0"/>
    <n v="9095.0682500000003"/>
    <s v="northeast"/>
    <x v="0"/>
    <s v="female"/>
    <n v="3"/>
    <x v="1"/>
  </r>
  <r>
    <n v="778"/>
    <n v="45"/>
    <n v="39.805"/>
    <n v="0"/>
    <n v="0"/>
    <n v="7448.4039499999999"/>
    <s v="northeast"/>
    <x v="0"/>
    <s v="male"/>
    <n v="5"/>
    <x v="2"/>
  </r>
  <r>
    <n v="806"/>
    <n v="45"/>
    <n v="35.814999999999998"/>
    <n v="0"/>
    <n v="0"/>
    <n v="7731.8578500000003"/>
    <s v="northwest"/>
    <x v="0"/>
    <s v="female"/>
    <n v="5"/>
    <x v="2"/>
  </r>
  <r>
    <n v="821"/>
    <n v="45"/>
    <n v="33.700000000000003"/>
    <n v="1"/>
    <n v="0"/>
    <n v="7445.9179999999997"/>
    <s v="southwest"/>
    <x v="0"/>
    <s v="male"/>
    <n v="4"/>
    <x v="0"/>
  </r>
  <r>
    <n v="918"/>
    <n v="45"/>
    <n v="22.895"/>
    <n v="0"/>
    <n v="1"/>
    <n v="35069.374519999998"/>
    <s v="northeast"/>
    <x v="1"/>
    <s v="male"/>
    <n v="2"/>
    <x v="3"/>
  </r>
  <r>
    <n v="934"/>
    <n v="45"/>
    <n v="35.299999999999997"/>
    <n v="0"/>
    <n v="0"/>
    <n v="7348.1419999999998"/>
    <s v="southwest"/>
    <x v="0"/>
    <s v="female"/>
    <n v="5"/>
    <x v="2"/>
  </r>
  <r>
    <n v="979"/>
    <n v="45"/>
    <n v="39.994999999999997"/>
    <n v="3"/>
    <n v="0"/>
    <n v="9704.6680500000002"/>
    <s v="northeast"/>
    <x v="0"/>
    <s v="female"/>
    <n v="6"/>
    <x v="5"/>
  </r>
  <r>
    <n v="988"/>
    <n v="45"/>
    <n v="27.645"/>
    <n v="1"/>
    <n v="0"/>
    <n v="28340.188849999999"/>
    <s v="northwest"/>
    <x v="0"/>
    <s v="female"/>
    <n v="3"/>
    <x v="1"/>
  </r>
  <r>
    <n v="1038"/>
    <n v="45"/>
    <n v="30.495000000000001"/>
    <n v="1"/>
    <n v="1"/>
    <n v="39725.518049999999"/>
    <s v="northwest"/>
    <x v="1"/>
    <s v="female"/>
    <n v="4"/>
    <x v="0"/>
  </r>
  <r>
    <n v="1058"/>
    <n v="45"/>
    <n v="31.79"/>
    <n v="0"/>
    <n v="0"/>
    <n v="17929.303370000001"/>
    <s v="southeast"/>
    <x v="0"/>
    <s v="female"/>
    <n v="4"/>
    <x v="0"/>
  </r>
  <r>
    <n v="1110"/>
    <n v="45"/>
    <n v="20.350000000000001"/>
    <n v="3"/>
    <n v="0"/>
    <n v="8605.3615000000009"/>
    <s v="southeast"/>
    <x v="0"/>
    <s v="male"/>
    <n v="2"/>
    <x v="3"/>
  </r>
  <r>
    <n v="1186"/>
    <n v="45"/>
    <n v="23.56"/>
    <n v="2"/>
    <n v="0"/>
    <n v="8603.8233999999993"/>
    <s v="northeast"/>
    <x v="0"/>
    <s v="male"/>
    <n v="2"/>
    <x v="3"/>
  </r>
  <r>
    <n v="1235"/>
    <n v="45"/>
    <n v="27.83"/>
    <n v="2"/>
    <n v="0"/>
    <n v="8515.7587000000003"/>
    <s v="southeast"/>
    <x v="0"/>
    <s v="female"/>
    <n v="3"/>
    <x v="1"/>
  </r>
  <r>
    <n v="1247"/>
    <n v="45"/>
    <n v="25.7"/>
    <n v="3"/>
    <n v="0"/>
    <n v="9101.7980000000007"/>
    <s v="southwest"/>
    <x v="0"/>
    <s v="female"/>
    <n v="3"/>
    <x v="1"/>
  </r>
  <r>
    <n v="1270"/>
    <n v="45"/>
    <n v="27.5"/>
    <n v="3"/>
    <n v="0"/>
    <n v="8615.2999999999993"/>
    <s v="southwest"/>
    <x v="0"/>
    <s v="male"/>
    <n v="3"/>
    <x v="1"/>
  </r>
  <r>
    <n v="1301"/>
    <n v="45"/>
    <n v="30.36"/>
    <n v="0"/>
    <n v="1"/>
    <n v="62592.873090000001"/>
    <s v="southeast"/>
    <x v="1"/>
    <s v="male"/>
    <n v="4"/>
    <x v="0"/>
  </r>
  <r>
    <n v="7"/>
    <n v="46"/>
    <n v="33.44"/>
    <n v="1"/>
    <n v="0"/>
    <n v="8240.5895999999993"/>
    <s v="southeast"/>
    <x v="0"/>
    <s v="female"/>
    <n v="4"/>
    <x v="0"/>
  </r>
  <r>
    <n v="89"/>
    <n v="46"/>
    <n v="27.74"/>
    <n v="0"/>
    <n v="0"/>
    <n v="8026.6665999999996"/>
    <s v="northwest"/>
    <x v="0"/>
    <s v="female"/>
    <n v="3"/>
    <x v="1"/>
  </r>
  <r>
    <n v="147"/>
    <n v="46"/>
    <n v="30.495000000000001"/>
    <n v="3"/>
    <n v="1"/>
    <n v="40720.551050000002"/>
    <s v="northwest"/>
    <x v="1"/>
    <s v="male"/>
    <n v="4"/>
    <x v="0"/>
  </r>
  <r>
    <n v="179"/>
    <n v="46"/>
    <n v="28.9"/>
    <n v="2"/>
    <n v="0"/>
    <n v="8823.2790000000005"/>
    <s v="southwest"/>
    <x v="0"/>
    <s v="female"/>
    <n v="3"/>
    <x v="1"/>
  </r>
  <r>
    <n v="205"/>
    <n v="46"/>
    <n v="22.3"/>
    <n v="0"/>
    <n v="0"/>
    <n v="7147.1049999999996"/>
    <s v="southwest"/>
    <x v="0"/>
    <s v="male"/>
    <n v="2"/>
    <x v="3"/>
  </r>
  <r>
    <n v="266"/>
    <n v="46"/>
    <n v="42.35"/>
    <n v="3"/>
    <n v="1"/>
    <n v="46151.124499999998"/>
    <s v="southeast"/>
    <x v="1"/>
    <s v="male"/>
    <n v="6"/>
    <x v="5"/>
  </r>
  <r>
    <n v="286"/>
    <n v="46"/>
    <n v="26.62"/>
    <n v="1"/>
    <n v="0"/>
    <n v="7742.1098000000002"/>
    <s v="southeast"/>
    <x v="0"/>
    <s v="male"/>
    <n v="3"/>
    <x v="1"/>
  </r>
  <r>
    <n v="287"/>
    <n v="46"/>
    <n v="48.07"/>
    <n v="2"/>
    <n v="0"/>
    <n v="9432.9253000000008"/>
    <s v="northeast"/>
    <x v="0"/>
    <s v="female"/>
    <n v="6"/>
    <x v="5"/>
  </r>
  <r>
    <n v="340"/>
    <n v="46"/>
    <n v="27.72"/>
    <n v="1"/>
    <n v="0"/>
    <n v="8232.6388000000006"/>
    <s v="southeast"/>
    <x v="0"/>
    <s v="female"/>
    <n v="3"/>
    <x v="1"/>
  </r>
  <r>
    <n v="348"/>
    <n v="46"/>
    <n v="33.344999999999999"/>
    <n v="1"/>
    <n v="0"/>
    <n v="8334.4575499999992"/>
    <s v="northeast"/>
    <x v="0"/>
    <s v="male"/>
    <n v="4"/>
    <x v="0"/>
  </r>
  <r>
    <n v="356"/>
    <n v="46"/>
    <n v="27.6"/>
    <n v="0"/>
    <n v="0"/>
    <n v="24603.04837"/>
    <s v="southwest"/>
    <x v="0"/>
    <s v="male"/>
    <n v="3"/>
    <x v="1"/>
  </r>
  <r>
    <n v="357"/>
    <n v="46"/>
    <n v="43.89"/>
    <n v="3"/>
    <n v="0"/>
    <n v="8944.1151000000009"/>
    <s v="southeast"/>
    <x v="0"/>
    <s v="male"/>
    <n v="6"/>
    <x v="5"/>
  </r>
  <r>
    <n v="395"/>
    <n v="46"/>
    <n v="32.299999999999997"/>
    <n v="2"/>
    <n v="0"/>
    <n v="9411.0049999999992"/>
    <s v="northeast"/>
    <x v="0"/>
    <s v="female"/>
    <n v="4"/>
    <x v="0"/>
  </r>
  <r>
    <n v="396"/>
    <n v="46"/>
    <n v="19.855"/>
    <n v="0"/>
    <n v="0"/>
    <n v="7526.7064499999997"/>
    <s v="northwest"/>
    <x v="0"/>
    <s v="male"/>
    <n v="2"/>
    <x v="3"/>
  </r>
  <r>
    <n v="529"/>
    <n v="46"/>
    <n v="39.424999999999997"/>
    <n v="1"/>
    <n v="0"/>
    <n v="8342.9087500000005"/>
    <s v="northeast"/>
    <x v="0"/>
    <s v="male"/>
    <n v="5"/>
    <x v="2"/>
  </r>
  <r>
    <n v="538"/>
    <n v="46"/>
    <n v="30.2"/>
    <n v="2"/>
    <n v="0"/>
    <n v="8825.0859999999993"/>
    <s v="southwest"/>
    <x v="0"/>
    <s v="female"/>
    <n v="4"/>
    <x v="0"/>
  </r>
  <r>
    <n v="539"/>
    <n v="46"/>
    <n v="28.05"/>
    <n v="1"/>
    <n v="0"/>
    <n v="8233.0974999999999"/>
    <s v="southeast"/>
    <x v="0"/>
    <s v="female"/>
    <n v="3"/>
    <x v="1"/>
  </r>
  <r>
    <n v="557"/>
    <n v="46"/>
    <n v="33.44"/>
    <n v="1"/>
    <n v="0"/>
    <n v="8334.5895999999993"/>
    <s v="northeast"/>
    <x v="0"/>
    <s v="male"/>
    <n v="4"/>
    <x v="0"/>
  </r>
  <r>
    <n v="561"/>
    <n v="46"/>
    <n v="19.95"/>
    <n v="2"/>
    <n v="0"/>
    <n v="9193.8384999999998"/>
    <s v="northwest"/>
    <x v="0"/>
    <s v="female"/>
    <n v="2"/>
    <x v="3"/>
  </r>
  <r>
    <n v="596"/>
    <n v="46"/>
    <n v="33.725000000000001"/>
    <n v="1"/>
    <n v="0"/>
    <n v="8823.9857499999998"/>
    <s v="northeast"/>
    <x v="0"/>
    <s v="female"/>
    <n v="4"/>
    <x v="0"/>
  </r>
  <r>
    <n v="811"/>
    <n v="46"/>
    <n v="30.8"/>
    <n v="3"/>
    <n v="0"/>
    <n v="9414.92"/>
    <s v="southwest"/>
    <x v="0"/>
    <s v="female"/>
    <n v="4"/>
    <x v="0"/>
  </r>
  <r>
    <n v="853"/>
    <n v="46"/>
    <n v="35.53"/>
    <n v="0"/>
    <n v="1"/>
    <n v="42111.664700000001"/>
    <s v="northeast"/>
    <x v="1"/>
    <s v="female"/>
    <n v="5"/>
    <x v="2"/>
  </r>
  <r>
    <n v="933"/>
    <n v="46"/>
    <n v="25.8"/>
    <n v="5"/>
    <n v="0"/>
    <n v="10096.969999999999"/>
    <s v="southwest"/>
    <x v="0"/>
    <s v="male"/>
    <n v="3"/>
    <x v="1"/>
  </r>
  <r>
    <n v="964"/>
    <n v="46"/>
    <n v="24.795000000000002"/>
    <n v="3"/>
    <n v="0"/>
    <n v="9500.5730500000009"/>
    <s v="northeast"/>
    <x v="0"/>
    <s v="male"/>
    <n v="2"/>
    <x v="3"/>
  </r>
  <r>
    <n v="1031"/>
    <n v="46"/>
    <n v="23.655000000000001"/>
    <n v="1"/>
    <n v="1"/>
    <n v="21677.283449999999"/>
    <s v="northwest"/>
    <x v="1"/>
    <s v="female"/>
    <n v="2"/>
    <x v="3"/>
  </r>
  <r>
    <n v="1122"/>
    <n v="46"/>
    <n v="38.17"/>
    <n v="2"/>
    <n v="0"/>
    <n v="8347.1643000000004"/>
    <s v="southeast"/>
    <x v="0"/>
    <s v="male"/>
    <n v="5"/>
    <x v="2"/>
  </r>
  <r>
    <n v="1202"/>
    <n v="46"/>
    <n v="40.375"/>
    <n v="2"/>
    <n v="0"/>
    <n v="8733.2292500000003"/>
    <s v="northwest"/>
    <x v="0"/>
    <s v="male"/>
    <n v="6"/>
    <x v="5"/>
  </r>
  <r>
    <n v="1219"/>
    <n v="46"/>
    <n v="34.6"/>
    <n v="1"/>
    <n v="1"/>
    <n v="41661.601999999999"/>
    <s v="southwest"/>
    <x v="1"/>
    <s v="female"/>
    <n v="4"/>
    <x v="0"/>
  </r>
  <r>
    <n v="1294"/>
    <n v="46"/>
    <n v="25.745000000000001"/>
    <n v="3"/>
    <n v="0"/>
    <n v="9301.8935500000007"/>
    <s v="northwest"/>
    <x v="0"/>
    <s v="male"/>
    <n v="3"/>
    <x v="1"/>
  </r>
  <r>
    <n v="125"/>
    <n v="47"/>
    <n v="33.914999999999999"/>
    <n v="3"/>
    <n v="0"/>
    <n v="10115.00885"/>
    <s v="northwest"/>
    <x v="0"/>
    <s v="female"/>
    <n v="4"/>
    <x v="0"/>
  </r>
  <r>
    <n v="166"/>
    <n v="47"/>
    <n v="28.215"/>
    <n v="4"/>
    <n v="0"/>
    <n v="10407.085849999999"/>
    <s v="northeast"/>
    <x v="0"/>
    <s v="male"/>
    <n v="3"/>
    <x v="1"/>
  </r>
  <r>
    <n v="230"/>
    <n v="47"/>
    <n v="25.46"/>
    <n v="2"/>
    <n v="0"/>
    <n v="9225.2564000000002"/>
    <s v="northeast"/>
    <x v="0"/>
    <s v="male"/>
    <n v="3"/>
    <x v="1"/>
  </r>
  <r>
    <n v="276"/>
    <n v="47"/>
    <n v="26.6"/>
    <n v="2"/>
    <n v="0"/>
    <n v="9715.8410000000003"/>
    <s v="northeast"/>
    <x v="0"/>
    <s v="female"/>
    <n v="3"/>
    <x v="1"/>
  </r>
  <r>
    <n v="298"/>
    <n v="47"/>
    <n v="25.41"/>
    <n v="1"/>
    <n v="1"/>
    <n v="21978.676899999999"/>
    <s v="southeast"/>
    <x v="1"/>
    <s v="male"/>
    <n v="3"/>
    <x v="1"/>
  </r>
  <r>
    <n v="358"/>
    <n v="47"/>
    <n v="29.83"/>
    <n v="3"/>
    <n v="0"/>
    <n v="9620.3307000000004"/>
    <s v="northwest"/>
    <x v="0"/>
    <s v="male"/>
    <n v="3"/>
    <x v="1"/>
  </r>
  <r>
    <n v="402"/>
    <n v="47"/>
    <n v="47.52"/>
    <n v="1"/>
    <n v="0"/>
    <n v="8083.9197999999997"/>
    <s v="southeast"/>
    <x v="0"/>
    <s v="male"/>
    <n v="6"/>
    <x v="5"/>
  </r>
  <r>
    <n v="408"/>
    <n v="47"/>
    <n v="23.6"/>
    <n v="1"/>
    <n v="0"/>
    <n v="8539.6710000000003"/>
    <s v="southwest"/>
    <x v="0"/>
    <s v="female"/>
    <n v="2"/>
    <x v="3"/>
  </r>
  <r>
    <n v="474"/>
    <n v="47"/>
    <n v="33.344999999999999"/>
    <n v="0"/>
    <n v="0"/>
    <n v="20878.78443"/>
    <s v="northeast"/>
    <x v="0"/>
    <s v="female"/>
    <n v="4"/>
    <x v="0"/>
  </r>
  <r>
    <n v="592"/>
    <n v="47"/>
    <n v="19.57"/>
    <n v="1"/>
    <n v="0"/>
    <n v="8428.0692999999992"/>
    <s v="northwest"/>
    <x v="0"/>
    <s v="male"/>
    <n v="2"/>
    <x v="3"/>
  </r>
  <r>
    <n v="611"/>
    <n v="47"/>
    <n v="29.37"/>
    <n v="1"/>
    <n v="0"/>
    <n v="8547.6913000000004"/>
    <s v="southeast"/>
    <x v="0"/>
    <s v="female"/>
    <n v="3"/>
    <x v="1"/>
  </r>
  <r>
    <n v="616"/>
    <n v="47"/>
    <n v="36.630000000000003"/>
    <n v="1"/>
    <n v="1"/>
    <n v="42969.852700000003"/>
    <s v="southeast"/>
    <x v="1"/>
    <s v="female"/>
    <n v="5"/>
    <x v="2"/>
  </r>
  <r>
    <n v="689"/>
    <n v="47"/>
    <n v="24.1"/>
    <n v="1"/>
    <n v="0"/>
    <n v="26236.579969999999"/>
    <s v="southwest"/>
    <x v="0"/>
    <s v="female"/>
    <n v="2"/>
    <x v="3"/>
  </r>
  <r>
    <n v="692"/>
    <n v="47"/>
    <n v="36.200000000000003"/>
    <n v="1"/>
    <n v="0"/>
    <n v="8068.1850000000004"/>
    <s v="southwest"/>
    <x v="0"/>
    <s v="male"/>
    <n v="5"/>
    <x v="2"/>
  </r>
  <r>
    <n v="705"/>
    <n v="47"/>
    <n v="29.545000000000002"/>
    <n v="1"/>
    <n v="0"/>
    <n v="8930.9345499999999"/>
    <s v="northwest"/>
    <x v="0"/>
    <s v="female"/>
    <n v="3"/>
    <x v="1"/>
  </r>
  <r>
    <n v="749"/>
    <n v="47"/>
    <n v="36"/>
    <n v="1"/>
    <n v="0"/>
    <n v="8556.9069999999992"/>
    <s v="southwest"/>
    <x v="0"/>
    <s v="female"/>
    <n v="5"/>
    <x v="2"/>
  </r>
  <r>
    <n v="758"/>
    <n v="47"/>
    <n v="27.83"/>
    <n v="0"/>
    <n v="1"/>
    <n v="23065.420699999999"/>
    <s v="southeast"/>
    <x v="1"/>
    <s v="female"/>
    <n v="3"/>
    <x v="1"/>
  </r>
  <r>
    <n v="767"/>
    <n v="47"/>
    <n v="32.299999999999997"/>
    <n v="1"/>
    <n v="0"/>
    <n v="8062.7640000000001"/>
    <s v="southwest"/>
    <x v="0"/>
    <s v="male"/>
    <n v="4"/>
    <x v="0"/>
  </r>
  <r>
    <n v="819"/>
    <n v="47"/>
    <n v="26.125"/>
    <n v="1"/>
    <n v="1"/>
    <n v="23401.30575"/>
    <s v="northeast"/>
    <x v="1"/>
    <s v="female"/>
    <n v="3"/>
    <x v="1"/>
  </r>
  <r>
    <n v="894"/>
    <n v="47"/>
    <n v="38.94"/>
    <n v="2"/>
    <n v="1"/>
    <n v="44202.653599999998"/>
    <s v="southeast"/>
    <x v="1"/>
    <s v="male"/>
    <n v="5"/>
    <x v="2"/>
  </r>
  <r>
    <n v="1005"/>
    <n v="47"/>
    <n v="19.190000000000001"/>
    <n v="1"/>
    <n v="0"/>
    <n v="8627.5411000000004"/>
    <s v="northeast"/>
    <x v="0"/>
    <s v="male"/>
    <n v="2"/>
    <x v="3"/>
  </r>
  <r>
    <n v="1008"/>
    <n v="47"/>
    <n v="28.215"/>
    <n v="3"/>
    <n v="1"/>
    <n v="24915.220850000002"/>
    <s v="northwest"/>
    <x v="1"/>
    <s v="male"/>
    <n v="3"/>
    <x v="1"/>
  </r>
  <r>
    <n v="1023"/>
    <n v="47"/>
    <n v="36.08"/>
    <n v="1"/>
    <n v="1"/>
    <n v="42211.138200000001"/>
    <s v="southeast"/>
    <x v="1"/>
    <s v="male"/>
    <n v="5"/>
    <x v="2"/>
  </r>
  <r>
    <n v="1025"/>
    <n v="47"/>
    <n v="45.32"/>
    <n v="1"/>
    <n v="0"/>
    <n v="8569.8618000000006"/>
    <s v="southeast"/>
    <x v="0"/>
    <s v="female"/>
    <n v="6"/>
    <x v="5"/>
  </r>
  <r>
    <n v="1054"/>
    <n v="47"/>
    <n v="29.8"/>
    <n v="3"/>
    <n v="1"/>
    <n v="25309.489000000001"/>
    <s v="southwest"/>
    <x v="1"/>
    <s v="male"/>
    <n v="3"/>
    <x v="1"/>
  </r>
  <r>
    <n v="1077"/>
    <n v="47"/>
    <n v="32"/>
    <n v="1"/>
    <n v="0"/>
    <n v="8551.3469999999998"/>
    <s v="southwest"/>
    <x v="0"/>
    <s v="female"/>
    <n v="4"/>
    <x v="0"/>
  </r>
  <r>
    <n v="1091"/>
    <n v="47"/>
    <n v="36.19"/>
    <n v="0"/>
    <n v="1"/>
    <n v="41676.081100000003"/>
    <s v="southeast"/>
    <x v="1"/>
    <s v="male"/>
    <n v="5"/>
    <x v="2"/>
  </r>
  <r>
    <n v="1282"/>
    <n v="47"/>
    <n v="27.645"/>
    <n v="2"/>
    <n v="1"/>
    <n v="24535.698550000001"/>
    <s v="northwest"/>
    <x v="1"/>
    <s v="female"/>
    <n v="3"/>
    <x v="1"/>
  </r>
  <r>
    <n v="1286"/>
    <n v="47"/>
    <n v="24.32"/>
    <n v="0"/>
    <n v="0"/>
    <n v="8534.6718000000001"/>
    <s v="northeast"/>
    <x v="0"/>
    <s v="female"/>
    <n v="2"/>
    <x v="3"/>
  </r>
  <r>
    <n v="53"/>
    <n v="48"/>
    <n v="28"/>
    <n v="1"/>
    <n v="1"/>
    <n v="23568.272000000001"/>
    <s v="southwest"/>
    <x v="1"/>
    <s v="male"/>
    <n v="3"/>
    <x v="1"/>
  </r>
  <r>
    <n v="84"/>
    <n v="48"/>
    <n v="41.23"/>
    <n v="4"/>
    <n v="0"/>
    <n v="11033.661700000001"/>
    <s v="northwest"/>
    <x v="0"/>
    <s v="female"/>
    <n v="6"/>
    <x v="5"/>
  </r>
  <r>
    <n v="152"/>
    <n v="48"/>
    <n v="29.7"/>
    <n v="0"/>
    <n v="0"/>
    <n v="7789.6350000000002"/>
    <s v="southeast"/>
    <x v="0"/>
    <s v="male"/>
    <n v="3"/>
    <x v="1"/>
  </r>
  <r>
    <n v="157"/>
    <n v="48"/>
    <n v="24.42"/>
    <n v="0"/>
    <n v="1"/>
    <n v="21223.675800000001"/>
    <s v="southeast"/>
    <x v="1"/>
    <s v="male"/>
    <n v="2"/>
    <x v="3"/>
  </r>
  <r>
    <n v="202"/>
    <n v="48"/>
    <n v="32.229999999999997"/>
    <n v="1"/>
    <n v="0"/>
    <n v="8871.1517000000003"/>
    <s v="southeast"/>
    <x v="0"/>
    <s v="female"/>
    <n v="4"/>
    <x v="0"/>
  </r>
  <r>
    <n v="300"/>
    <n v="48"/>
    <n v="28.88"/>
    <n v="1"/>
    <n v="0"/>
    <n v="9249.4951999999994"/>
    <s v="northwest"/>
    <x v="0"/>
    <s v="female"/>
    <n v="3"/>
    <x v="1"/>
  </r>
  <r>
    <n v="361"/>
    <n v="48"/>
    <n v="32.299999999999997"/>
    <n v="2"/>
    <n v="0"/>
    <n v="10043.249"/>
    <s v="northeast"/>
    <x v="0"/>
    <s v="female"/>
    <n v="4"/>
    <x v="0"/>
  </r>
  <r>
    <n v="391"/>
    <n v="48"/>
    <n v="35.625"/>
    <n v="4"/>
    <n v="0"/>
    <n v="10736.87075"/>
    <s v="northeast"/>
    <x v="0"/>
    <s v="male"/>
    <n v="5"/>
    <x v="2"/>
  </r>
  <r>
    <n v="393"/>
    <n v="48"/>
    <n v="31.445"/>
    <n v="1"/>
    <n v="0"/>
    <n v="8964.0605500000001"/>
    <s v="northeast"/>
    <x v="0"/>
    <s v="male"/>
    <n v="4"/>
    <x v="0"/>
  </r>
  <r>
    <n v="425"/>
    <n v="48"/>
    <n v="30.2"/>
    <n v="2"/>
    <n v="0"/>
    <n v="8968.33"/>
    <s v="southwest"/>
    <x v="0"/>
    <s v="male"/>
    <n v="4"/>
    <x v="0"/>
  </r>
  <r>
    <n v="485"/>
    <n v="48"/>
    <n v="34.299999999999997"/>
    <n v="3"/>
    <n v="0"/>
    <n v="9563.0290000000005"/>
    <s v="southwest"/>
    <x v="0"/>
    <s v="male"/>
    <n v="4"/>
    <x v="0"/>
  </r>
  <r>
    <n v="570"/>
    <n v="48"/>
    <n v="40.564999999999998"/>
    <n v="2"/>
    <n v="1"/>
    <n v="45702.022349999999"/>
    <s v="northwest"/>
    <x v="1"/>
    <s v="male"/>
    <n v="6"/>
    <x v="5"/>
  </r>
  <r>
    <n v="646"/>
    <n v="48"/>
    <n v="30.78"/>
    <n v="3"/>
    <n v="0"/>
    <n v="10141.136200000001"/>
    <s v="northeast"/>
    <x v="0"/>
    <s v="male"/>
    <n v="4"/>
    <x v="0"/>
  </r>
  <r>
    <n v="653"/>
    <n v="48"/>
    <n v="31.13"/>
    <n v="0"/>
    <n v="0"/>
    <n v="8280.6226999999999"/>
    <s v="southeast"/>
    <x v="0"/>
    <s v="female"/>
    <n v="4"/>
    <x v="0"/>
  </r>
  <r>
    <n v="659"/>
    <n v="48"/>
    <n v="35.909999999999997"/>
    <n v="1"/>
    <n v="0"/>
    <n v="26392.260289999998"/>
    <s v="northeast"/>
    <x v="0"/>
    <s v="female"/>
    <n v="5"/>
    <x v="2"/>
  </r>
  <r>
    <n v="734"/>
    <n v="48"/>
    <n v="27.265000000000001"/>
    <n v="1"/>
    <n v="0"/>
    <n v="9447.2503500000003"/>
    <s v="northeast"/>
    <x v="0"/>
    <s v="female"/>
    <n v="3"/>
    <x v="1"/>
  </r>
  <r>
    <n v="857"/>
    <n v="48"/>
    <n v="33.11"/>
    <n v="0"/>
    <n v="1"/>
    <n v="40974.164900000003"/>
    <s v="southeast"/>
    <x v="1"/>
    <s v="female"/>
    <n v="4"/>
    <x v="0"/>
  </r>
  <r>
    <n v="960"/>
    <n v="48"/>
    <n v="36.67"/>
    <n v="1"/>
    <n v="0"/>
    <n v="28468.919010000001"/>
    <s v="northwest"/>
    <x v="0"/>
    <s v="male"/>
    <n v="5"/>
    <x v="2"/>
  </r>
  <r>
    <n v="977"/>
    <n v="48"/>
    <n v="40.15"/>
    <n v="0"/>
    <n v="0"/>
    <n v="7804.1605"/>
    <s v="southeast"/>
    <x v="0"/>
    <s v="male"/>
    <n v="6"/>
    <x v="5"/>
  </r>
  <r>
    <n v="1004"/>
    <n v="48"/>
    <n v="29.6"/>
    <n v="0"/>
    <n v="0"/>
    <n v="21232.182260000001"/>
    <s v="southwest"/>
    <x v="0"/>
    <s v="male"/>
    <n v="3"/>
    <x v="1"/>
  </r>
  <r>
    <n v="1011"/>
    <n v="48"/>
    <n v="22.8"/>
    <n v="0"/>
    <n v="0"/>
    <n v="8269.0439999999999"/>
    <s v="southwest"/>
    <x v="0"/>
    <s v="female"/>
    <n v="2"/>
    <x v="3"/>
  </r>
  <r>
    <n v="1014"/>
    <n v="48"/>
    <n v="32.299999999999997"/>
    <n v="1"/>
    <n v="0"/>
    <n v="8765.2489999999998"/>
    <s v="northwest"/>
    <x v="0"/>
    <s v="male"/>
    <n v="4"/>
    <x v="0"/>
  </r>
  <r>
    <n v="1057"/>
    <n v="48"/>
    <n v="28.9"/>
    <n v="0"/>
    <n v="0"/>
    <n v="8277.5229999999992"/>
    <s v="southwest"/>
    <x v="0"/>
    <s v="female"/>
    <n v="3"/>
    <x v="1"/>
  </r>
  <r>
    <n v="1067"/>
    <n v="48"/>
    <n v="37.29"/>
    <n v="2"/>
    <n v="0"/>
    <n v="8978.1851000000006"/>
    <s v="southeast"/>
    <x v="0"/>
    <s v="male"/>
    <n v="5"/>
    <x v="2"/>
  </r>
  <r>
    <n v="1113"/>
    <n v="48"/>
    <n v="25.85"/>
    <n v="3"/>
    <n v="1"/>
    <n v="24180.933499999999"/>
    <s v="southeast"/>
    <x v="1"/>
    <s v="female"/>
    <n v="3"/>
    <x v="1"/>
  </r>
  <r>
    <n v="1155"/>
    <n v="48"/>
    <n v="27.93"/>
    <n v="4"/>
    <n v="0"/>
    <n v="11015.1747"/>
    <s v="northwest"/>
    <x v="0"/>
    <s v="female"/>
    <n v="3"/>
    <x v="1"/>
  </r>
  <r>
    <n v="1184"/>
    <n v="48"/>
    <n v="27.36"/>
    <n v="1"/>
    <n v="0"/>
    <n v="9447.3824000000004"/>
    <s v="northeast"/>
    <x v="0"/>
    <s v="female"/>
    <n v="3"/>
    <x v="1"/>
  </r>
  <r>
    <n v="1194"/>
    <n v="48"/>
    <n v="36.575000000000003"/>
    <n v="0"/>
    <n v="0"/>
    <n v="8671.1912499999999"/>
    <s v="northwest"/>
    <x v="0"/>
    <s v="female"/>
    <n v="5"/>
    <x v="2"/>
  </r>
  <r>
    <n v="1281"/>
    <n v="48"/>
    <n v="33.33"/>
    <n v="0"/>
    <n v="0"/>
    <n v="8283.6807000000008"/>
    <s v="southeast"/>
    <x v="0"/>
    <s v="female"/>
    <n v="4"/>
    <x v="0"/>
  </r>
  <r>
    <n v="119"/>
    <n v="49"/>
    <n v="27.17"/>
    <n v="0"/>
    <n v="0"/>
    <n v="8601.3292999999994"/>
    <s v="southeast"/>
    <x v="0"/>
    <s v="female"/>
    <n v="3"/>
    <x v="1"/>
  </r>
  <r>
    <n v="172"/>
    <n v="49"/>
    <n v="30.3"/>
    <n v="0"/>
    <n v="0"/>
    <n v="8116.68"/>
    <s v="southwest"/>
    <x v="0"/>
    <s v="male"/>
    <n v="4"/>
    <x v="0"/>
  </r>
  <r>
    <n v="270"/>
    <n v="49"/>
    <n v="25.84"/>
    <n v="1"/>
    <n v="0"/>
    <n v="9282.4806000000008"/>
    <s v="northeast"/>
    <x v="0"/>
    <s v="male"/>
    <n v="3"/>
    <x v="1"/>
  </r>
  <r>
    <n v="314"/>
    <n v="49"/>
    <n v="35.86"/>
    <n v="0"/>
    <n v="0"/>
    <n v="8124.4084000000003"/>
    <s v="southeast"/>
    <x v="0"/>
    <s v="male"/>
    <n v="5"/>
    <x v="2"/>
  </r>
  <r>
    <n v="345"/>
    <n v="49"/>
    <n v="41.47"/>
    <n v="4"/>
    <n v="0"/>
    <n v="10977.2063"/>
    <s v="southeast"/>
    <x v="0"/>
    <s v="female"/>
    <n v="6"/>
    <x v="5"/>
  </r>
  <r>
    <n v="366"/>
    <n v="49"/>
    <n v="30.78"/>
    <n v="1"/>
    <n v="0"/>
    <n v="9778.3472000000002"/>
    <s v="northeast"/>
    <x v="0"/>
    <s v="female"/>
    <n v="4"/>
    <x v="0"/>
  </r>
  <r>
    <n v="394"/>
    <n v="49"/>
    <n v="31.35"/>
    <n v="1"/>
    <n v="0"/>
    <n v="9290.1394999999993"/>
    <s v="northeast"/>
    <x v="0"/>
    <s v="male"/>
    <n v="4"/>
    <x v="0"/>
  </r>
  <r>
    <n v="404"/>
    <n v="49"/>
    <n v="32.299999999999997"/>
    <n v="3"/>
    <n v="0"/>
    <n v="10269.459999999999"/>
    <s v="northwest"/>
    <x v="0"/>
    <s v="male"/>
    <n v="4"/>
    <x v="0"/>
  </r>
  <r>
    <n v="461"/>
    <n v="49"/>
    <n v="36.630000000000003"/>
    <n v="3"/>
    <n v="0"/>
    <n v="10381.4787"/>
    <s v="southeast"/>
    <x v="0"/>
    <s v="female"/>
    <n v="5"/>
    <x v="2"/>
  </r>
  <r>
    <n v="482"/>
    <n v="49"/>
    <n v="37.51"/>
    <n v="2"/>
    <n v="0"/>
    <n v="9304.7019"/>
    <s v="southeast"/>
    <x v="0"/>
    <s v="male"/>
    <n v="5"/>
    <x v="2"/>
  </r>
  <r>
    <n v="546"/>
    <n v="49"/>
    <n v="25.84"/>
    <n v="2"/>
    <n v="1"/>
    <n v="23807.240600000001"/>
    <s v="northwest"/>
    <x v="1"/>
    <s v="male"/>
    <n v="3"/>
    <x v="1"/>
  </r>
  <r>
    <n v="569"/>
    <n v="49"/>
    <n v="31.9"/>
    <n v="5"/>
    <n v="0"/>
    <n v="11552.904"/>
    <s v="southwest"/>
    <x v="0"/>
    <s v="female"/>
    <n v="4"/>
    <x v="0"/>
  </r>
  <r>
    <n v="618"/>
    <n v="49"/>
    <n v="25.6"/>
    <n v="2"/>
    <n v="1"/>
    <n v="23306.546999999999"/>
    <s v="southwest"/>
    <x v="1"/>
    <s v="male"/>
    <n v="3"/>
    <x v="1"/>
  </r>
  <r>
    <n v="623"/>
    <n v="49"/>
    <n v="21.3"/>
    <n v="1"/>
    <n v="0"/>
    <n v="9182.17"/>
    <s v="southwest"/>
    <x v="0"/>
    <s v="female"/>
    <n v="2"/>
    <x v="3"/>
  </r>
  <r>
    <n v="651"/>
    <n v="49"/>
    <n v="42.68"/>
    <n v="2"/>
    <n v="0"/>
    <n v="9800.8881999999994"/>
    <s v="southeast"/>
    <x v="0"/>
    <s v="female"/>
    <n v="6"/>
    <x v="5"/>
  </r>
  <r>
    <n v="667"/>
    <n v="49"/>
    <n v="28.7"/>
    <n v="1"/>
    <n v="0"/>
    <n v="8703.4560000000001"/>
    <s v="southwest"/>
    <x v="0"/>
    <s v="male"/>
    <n v="3"/>
    <x v="1"/>
  </r>
  <r>
    <n v="680"/>
    <n v="49"/>
    <n v="23.18"/>
    <n v="2"/>
    <n v="0"/>
    <n v="10156.7832"/>
    <s v="northwest"/>
    <x v="0"/>
    <s v="female"/>
    <n v="2"/>
    <x v="3"/>
  </r>
  <r>
    <n v="708"/>
    <n v="49"/>
    <n v="28.69"/>
    <n v="3"/>
    <n v="0"/>
    <n v="10264.4421"/>
    <s v="northwest"/>
    <x v="0"/>
    <s v="male"/>
    <n v="3"/>
    <x v="1"/>
  </r>
  <r>
    <n v="717"/>
    <n v="49"/>
    <n v="22.61"/>
    <n v="1"/>
    <n v="0"/>
    <n v="9566.9909000000007"/>
    <s v="northwest"/>
    <x v="0"/>
    <s v="female"/>
    <n v="2"/>
    <x v="3"/>
  </r>
  <r>
    <n v="736"/>
    <n v="49"/>
    <n v="34.770000000000003"/>
    <n v="1"/>
    <n v="0"/>
    <n v="9583.8932999999997"/>
    <s v="northwest"/>
    <x v="0"/>
    <s v="female"/>
    <n v="4"/>
    <x v="0"/>
  </r>
  <r>
    <n v="855"/>
    <n v="49"/>
    <n v="23.844999999999999"/>
    <n v="3"/>
    <n v="1"/>
    <n v="24106.912550000001"/>
    <s v="northeast"/>
    <x v="1"/>
    <s v="female"/>
    <n v="2"/>
    <x v="3"/>
  </r>
  <r>
    <n v="877"/>
    <n v="49"/>
    <n v="27.1"/>
    <n v="1"/>
    <n v="0"/>
    <n v="26140.3603"/>
    <s v="southwest"/>
    <x v="0"/>
    <s v="female"/>
    <n v="3"/>
    <x v="1"/>
  </r>
  <r>
    <n v="901"/>
    <n v="49"/>
    <n v="22.515000000000001"/>
    <n v="0"/>
    <n v="0"/>
    <n v="8688.8588500000005"/>
    <s v="northeast"/>
    <x v="0"/>
    <s v="male"/>
    <n v="2"/>
    <x v="3"/>
  </r>
  <r>
    <n v="904"/>
    <n v="49"/>
    <n v="36.85"/>
    <n v="0"/>
    <n v="0"/>
    <n v="8125.7844999999998"/>
    <s v="southeast"/>
    <x v="0"/>
    <s v="male"/>
    <n v="5"/>
    <x v="2"/>
  </r>
  <r>
    <n v="1050"/>
    <n v="49"/>
    <n v="30.9"/>
    <n v="0"/>
    <n v="1"/>
    <n v="39727.614000000001"/>
    <s v="southwest"/>
    <x v="1"/>
    <s v="male"/>
    <n v="4"/>
    <x v="0"/>
  </r>
  <r>
    <n v="1053"/>
    <n v="49"/>
    <n v="29.83"/>
    <n v="1"/>
    <n v="0"/>
    <n v="9288.0267000000003"/>
    <s v="northeast"/>
    <x v="0"/>
    <s v="male"/>
    <n v="3"/>
    <x v="1"/>
  </r>
  <r>
    <n v="1107"/>
    <n v="49"/>
    <n v="29.925000000000001"/>
    <n v="0"/>
    <n v="0"/>
    <n v="8988.1587500000005"/>
    <s v="northwest"/>
    <x v="0"/>
    <s v="female"/>
    <n v="4"/>
    <x v="0"/>
  </r>
  <r>
    <n v="1265"/>
    <n v="49"/>
    <n v="33.344999999999999"/>
    <n v="2"/>
    <n v="0"/>
    <n v="10370.912549999999"/>
    <s v="northeast"/>
    <x v="0"/>
    <s v="female"/>
    <n v="4"/>
    <x v="0"/>
  </r>
  <r>
    <n v="160"/>
    <n v="50"/>
    <n v="27.83"/>
    <n v="3"/>
    <n v="0"/>
    <n v="19749.383379999999"/>
    <s v="southeast"/>
    <x v="0"/>
    <s v="female"/>
    <n v="3"/>
    <x v="1"/>
  </r>
  <r>
    <n v="255"/>
    <n v="50"/>
    <n v="31.824999999999999"/>
    <n v="0"/>
    <n v="1"/>
    <n v="41097.161749999999"/>
    <s v="northeast"/>
    <x v="1"/>
    <s v="male"/>
    <n v="4"/>
    <x v="0"/>
  </r>
  <r>
    <n v="272"/>
    <n v="50"/>
    <n v="34.200000000000003"/>
    <n v="2"/>
    <n v="1"/>
    <n v="42856.838000000003"/>
    <s v="southwest"/>
    <x v="1"/>
    <s v="male"/>
    <n v="4"/>
    <x v="0"/>
  </r>
  <r>
    <n v="274"/>
    <n v="50"/>
    <n v="27.454999999999998"/>
    <n v="1"/>
    <n v="0"/>
    <n v="9617.6624499999998"/>
    <s v="northeast"/>
    <x v="0"/>
    <s v="male"/>
    <n v="3"/>
    <x v="1"/>
  </r>
  <r>
    <n v="311"/>
    <n v="50"/>
    <n v="26.6"/>
    <n v="0"/>
    <n v="0"/>
    <n v="8444.4740000000002"/>
    <s v="southwest"/>
    <x v="0"/>
    <s v="male"/>
    <n v="3"/>
    <x v="1"/>
  </r>
  <r>
    <n v="317"/>
    <n v="50"/>
    <n v="32.204999999999998"/>
    <n v="0"/>
    <n v="0"/>
    <n v="8835.2649500000007"/>
    <s v="northwest"/>
    <x v="0"/>
    <s v="male"/>
    <n v="4"/>
    <x v="0"/>
  </r>
  <r>
    <n v="339"/>
    <n v="50"/>
    <n v="32.299999999999997"/>
    <n v="1"/>
    <n v="1"/>
    <n v="41919.097000000002"/>
    <s v="northeast"/>
    <x v="1"/>
    <s v="male"/>
    <n v="4"/>
    <x v="0"/>
  </r>
  <r>
    <n v="352"/>
    <n v="50"/>
    <n v="25.6"/>
    <n v="0"/>
    <n v="0"/>
    <n v="8932.0840000000007"/>
    <s v="southwest"/>
    <x v="0"/>
    <s v="female"/>
    <n v="3"/>
    <x v="1"/>
  </r>
  <r>
    <n v="388"/>
    <n v="50"/>
    <n v="25.364999999999998"/>
    <n v="2"/>
    <n v="0"/>
    <n v="30284.642940000002"/>
    <s v="northwest"/>
    <x v="0"/>
    <s v="male"/>
    <n v="3"/>
    <x v="1"/>
  </r>
  <r>
    <n v="521"/>
    <n v="50"/>
    <n v="27.36"/>
    <n v="0"/>
    <n v="0"/>
    <n v="25656.575260000001"/>
    <s v="northeast"/>
    <x v="0"/>
    <s v="female"/>
    <n v="3"/>
    <x v="1"/>
  </r>
  <r>
    <n v="564"/>
    <n v="50"/>
    <n v="44.77"/>
    <n v="1"/>
    <n v="0"/>
    <n v="9058.7302999999993"/>
    <s v="southeast"/>
    <x v="0"/>
    <s v="male"/>
    <n v="6"/>
    <x v="5"/>
  </r>
  <r>
    <n v="702"/>
    <n v="50"/>
    <n v="44.744999999999997"/>
    <n v="0"/>
    <n v="0"/>
    <n v="9541.6955500000004"/>
    <s v="northeast"/>
    <x v="0"/>
    <s v="female"/>
    <n v="6"/>
    <x v="5"/>
  </r>
  <r>
    <n v="712"/>
    <n v="50"/>
    <n v="23.54"/>
    <n v="2"/>
    <n v="0"/>
    <n v="10107.220600000001"/>
    <s v="southeast"/>
    <x v="0"/>
    <s v="female"/>
    <n v="2"/>
    <x v="3"/>
  </r>
  <r>
    <n v="725"/>
    <n v="50"/>
    <n v="27.074999999999999"/>
    <n v="1"/>
    <n v="0"/>
    <n v="10106.134249999999"/>
    <s v="northeast"/>
    <x v="0"/>
    <s v="female"/>
    <n v="3"/>
    <x v="1"/>
  </r>
  <r>
    <n v="745"/>
    <n v="50"/>
    <n v="26.41"/>
    <n v="0"/>
    <n v="0"/>
    <n v="8827.2098999999998"/>
    <s v="northwest"/>
    <x v="0"/>
    <s v="male"/>
    <n v="3"/>
    <x v="1"/>
  </r>
  <r>
    <n v="746"/>
    <n v="50"/>
    <n v="30.114999999999998"/>
    <n v="1"/>
    <n v="0"/>
    <n v="9910.3598500000007"/>
    <s v="northwest"/>
    <x v="0"/>
    <s v="female"/>
    <n v="4"/>
    <x v="0"/>
  </r>
  <r>
    <n v="784"/>
    <n v="50"/>
    <n v="27.6"/>
    <n v="1"/>
    <n v="1"/>
    <n v="24520.263999999999"/>
    <s v="southwest"/>
    <x v="1"/>
    <s v="female"/>
    <n v="3"/>
    <x v="1"/>
  </r>
  <r>
    <n v="871"/>
    <n v="50"/>
    <n v="36.200000000000003"/>
    <n v="0"/>
    <n v="0"/>
    <n v="8457.8179999999993"/>
    <s v="southwest"/>
    <x v="0"/>
    <s v="male"/>
    <n v="5"/>
    <x v="2"/>
  </r>
  <r>
    <n v="926"/>
    <n v="50"/>
    <n v="32.11"/>
    <n v="2"/>
    <n v="0"/>
    <n v="25333.332839999999"/>
    <s v="northeast"/>
    <x v="0"/>
    <s v="male"/>
    <n v="4"/>
    <x v="0"/>
  </r>
  <r>
    <n v="942"/>
    <n v="50"/>
    <n v="46.09"/>
    <n v="1"/>
    <n v="0"/>
    <n v="9549.5650999999998"/>
    <s v="southeast"/>
    <x v="0"/>
    <s v="female"/>
    <n v="6"/>
    <x v="5"/>
  </r>
  <r>
    <n v="971"/>
    <n v="50"/>
    <n v="28.16"/>
    <n v="3"/>
    <n v="0"/>
    <n v="10702.642400000001"/>
    <s v="southeast"/>
    <x v="0"/>
    <s v="female"/>
    <n v="3"/>
    <x v="1"/>
  </r>
  <r>
    <n v="993"/>
    <n v="50"/>
    <n v="31.6"/>
    <n v="2"/>
    <n v="0"/>
    <n v="10118.424000000001"/>
    <s v="southwest"/>
    <x v="0"/>
    <s v="female"/>
    <n v="4"/>
    <x v="0"/>
  </r>
  <r>
    <n v="1095"/>
    <n v="50"/>
    <n v="33.700000000000003"/>
    <n v="4"/>
    <n v="0"/>
    <n v="11299.343000000001"/>
    <s v="southwest"/>
    <x v="0"/>
    <s v="female"/>
    <n v="4"/>
    <x v="0"/>
  </r>
  <r>
    <n v="1108"/>
    <n v="50"/>
    <n v="26.22"/>
    <n v="2"/>
    <n v="0"/>
    <n v="10493.9458"/>
    <s v="northwest"/>
    <x v="0"/>
    <s v="female"/>
    <n v="3"/>
    <x v="1"/>
  </r>
  <r>
    <n v="1136"/>
    <n v="50"/>
    <n v="28.12"/>
    <n v="3"/>
    <n v="0"/>
    <n v="11085.586799999999"/>
    <s v="northwest"/>
    <x v="0"/>
    <s v="female"/>
    <n v="3"/>
    <x v="1"/>
  </r>
  <r>
    <n v="1141"/>
    <n v="50"/>
    <n v="37.07"/>
    <n v="1"/>
    <n v="0"/>
    <n v="9048.0272999999997"/>
    <s v="southeast"/>
    <x v="0"/>
    <s v="male"/>
    <n v="5"/>
    <x v="2"/>
  </r>
  <r>
    <n v="1145"/>
    <n v="50"/>
    <n v="32.299999999999997"/>
    <n v="2"/>
    <n v="0"/>
    <n v="9630.3970000000008"/>
    <s v="southwest"/>
    <x v="0"/>
    <s v="male"/>
    <n v="4"/>
    <x v="0"/>
  </r>
  <r>
    <n v="1223"/>
    <n v="50"/>
    <n v="25.3"/>
    <n v="0"/>
    <n v="0"/>
    <n v="8442.6669999999995"/>
    <s v="southeast"/>
    <x v="0"/>
    <s v="male"/>
    <n v="3"/>
    <x v="1"/>
  </r>
  <r>
    <n v="1334"/>
    <n v="50"/>
    <n v="30.97"/>
    <n v="3"/>
    <n v="0"/>
    <n v="10600.5483"/>
    <s v="northwest"/>
    <x v="0"/>
    <s v="male"/>
    <n v="4"/>
    <x v="0"/>
  </r>
  <r>
    <n v="148"/>
    <n v="51"/>
    <n v="37.729999999999997"/>
    <n v="1"/>
    <n v="0"/>
    <n v="9877.6077000000005"/>
    <s v="southeast"/>
    <x v="0"/>
    <s v="female"/>
    <n v="5"/>
    <x v="2"/>
  </r>
  <r>
    <n v="199"/>
    <n v="51"/>
    <n v="18.05"/>
    <n v="0"/>
    <n v="0"/>
    <n v="9644.2525000000005"/>
    <s v="northwest"/>
    <x v="0"/>
    <s v="female"/>
    <n v="1"/>
    <x v="4"/>
  </r>
  <r>
    <n v="259"/>
    <n v="51"/>
    <n v="24.414999999999999"/>
    <n v="4"/>
    <n v="0"/>
    <n v="11520.099850000001"/>
    <s v="northwest"/>
    <x v="0"/>
    <s v="male"/>
    <n v="2"/>
    <x v="3"/>
  </r>
  <r>
    <n v="280"/>
    <n v="51"/>
    <n v="21.56"/>
    <n v="1"/>
    <n v="0"/>
    <n v="9855.1314000000002"/>
    <s v="southeast"/>
    <x v="0"/>
    <s v="female"/>
    <n v="2"/>
    <x v="3"/>
  </r>
  <r>
    <n v="401"/>
    <n v="51"/>
    <n v="20.6"/>
    <n v="0"/>
    <n v="0"/>
    <n v="9264.7970000000005"/>
    <s v="southwest"/>
    <x v="0"/>
    <s v="female"/>
    <n v="2"/>
    <x v="3"/>
  </r>
  <r>
    <n v="484"/>
    <n v="51"/>
    <n v="39.5"/>
    <n v="1"/>
    <n v="0"/>
    <n v="9880.0679999999993"/>
    <s v="southwest"/>
    <x v="0"/>
    <s v="female"/>
    <n v="5"/>
    <x v="2"/>
  </r>
  <r>
    <n v="503"/>
    <n v="51"/>
    <n v="23.21"/>
    <n v="1"/>
    <n v="1"/>
    <n v="22218.1149"/>
    <s v="southeast"/>
    <x v="1"/>
    <s v="male"/>
    <n v="2"/>
    <x v="3"/>
  </r>
  <r>
    <n v="513"/>
    <n v="51"/>
    <n v="22.42"/>
    <n v="0"/>
    <n v="0"/>
    <n v="9361.3268000000007"/>
    <s v="northeast"/>
    <x v="0"/>
    <s v="male"/>
    <n v="2"/>
    <x v="3"/>
  </r>
  <r>
    <n v="523"/>
    <n v="51"/>
    <n v="33.914999999999999"/>
    <n v="0"/>
    <n v="0"/>
    <n v="9866.3048500000004"/>
    <s v="northeast"/>
    <x v="0"/>
    <s v="female"/>
    <n v="4"/>
    <x v="0"/>
  </r>
  <r>
    <n v="528"/>
    <n v="51"/>
    <n v="25.8"/>
    <n v="1"/>
    <n v="0"/>
    <n v="9861.0249999999996"/>
    <s v="southwest"/>
    <x v="0"/>
    <s v="female"/>
    <n v="3"/>
    <x v="1"/>
  </r>
  <r>
    <n v="602"/>
    <n v="51"/>
    <n v="31.635000000000002"/>
    <n v="0"/>
    <n v="0"/>
    <n v="9174.1356500000002"/>
    <s v="northwest"/>
    <x v="0"/>
    <s v="male"/>
    <n v="4"/>
    <x v="0"/>
  </r>
  <r>
    <n v="606"/>
    <n v="51"/>
    <n v="34.1"/>
    <n v="0"/>
    <n v="0"/>
    <n v="9283.5619999999999"/>
    <s v="southeast"/>
    <x v="0"/>
    <s v="female"/>
    <n v="4"/>
    <x v="0"/>
  </r>
  <r>
    <n v="635"/>
    <n v="51"/>
    <n v="39.700000000000003"/>
    <n v="1"/>
    <n v="0"/>
    <n v="9391.3459999999995"/>
    <s v="southwest"/>
    <x v="0"/>
    <s v="male"/>
    <n v="5"/>
    <x v="2"/>
  </r>
  <r>
    <n v="707"/>
    <n v="51"/>
    <n v="38.06"/>
    <n v="0"/>
    <n v="1"/>
    <n v="44400.4064"/>
    <s v="southeast"/>
    <x v="1"/>
    <s v="female"/>
    <n v="5"/>
    <x v="2"/>
  </r>
  <r>
    <n v="719"/>
    <n v="51"/>
    <n v="36.67"/>
    <n v="2"/>
    <n v="0"/>
    <n v="10848.1343"/>
    <s v="northwest"/>
    <x v="0"/>
    <s v="female"/>
    <n v="5"/>
    <x v="2"/>
  </r>
  <r>
    <n v="721"/>
    <n v="51"/>
    <n v="40.659999999999997"/>
    <n v="0"/>
    <n v="0"/>
    <n v="9875.6803999999993"/>
    <s v="northeast"/>
    <x v="0"/>
    <s v="female"/>
    <n v="6"/>
    <x v="5"/>
  </r>
  <r>
    <n v="776"/>
    <n v="51"/>
    <n v="33.33"/>
    <n v="3"/>
    <n v="0"/>
    <n v="10560.4917"/>
    <s v="southeast"/>
    <x v="0"/>
    <s v="male"/>
    <n v="4"/>
    <x v="0"/>
  </r>
  <r>
    <n v="783"/>
    <n v="51"/>
    <n v="35.97"/>
    <n v="1"/>
    <n v="0"/>
    <n v="9386.1612999999998"/>
    <s v="southeast"/>
    <x v="0"/>
    <s v="male"/>
    <n v="5"/>
    <x v="2"/>
  </r>
  <r>
    <n v="847"/>
    <n v="51"/>
    <n v="34.200000000000003"/>
    <n v="1"/>
    <n v="0"/>
    <n v="9872.7009999999991"/>
    <s v="southwest"/>
    <x v="0"/>
    <s v="female"/>
    <n v="4"/>
    <x v="0"/>
  </r>
  <r>
    <n v="865"/>
    <n v="51"/>
    <n v="25.4"/>
    <n v="0"/>
    <n v="0"/>
    <n v="8782.4689999999991"/>
    <s v="southwest"/>
    <x v="0"/>
    <s v="male"/>
    <n v="3"/>
    <x v="1"/>
  </r>
  <r>
    <n v="884"/>
    <n v="51"/>
    <n v="37.049999999999997"/>
    <n v="3"/>
    <n v="1"/>
    <n v="46255.112500000003"/>
    <s v="northeast"/>
    <x v="1"/>
    <s v="female"/>
    <n v="5"/>
    <x v="2"/>
  </r>
  <r>
    <n v="952"/>
    <n v="51"/>
    <n v="42.9"/>
    <n v="2"/>
    <n v="1"/>
    <n v="47462.894"/>
    <s v="southeast"/>
    <x v="1"/>
    <s v="male"/>
    <n v="6"/>
    <x v="5"/>
  </r>
  <r>
    <n v="967"/>
    <n v="51"/>
    <n v="24.795000000000002"/>
    <n v="2"/>
    <n v="1"/>
    <n v="23967.38305"/>
    <s v="northwest"/>
    <x v="1"/>
    <s v="male"/>
    <n v="2"/>
    <x v="3"/>
  </r>
  <r>
    <n v="1010"/>
    <n v="51"/>
    <n v="27.74"/>
    <n v="1"/>
    <n v="0"/>
    <n v="9957.7216000000008"/>
    <s v="northeast"/>
    <x v="0"/>
    <s v="male"/>
    <n v="3"/>
    <x v="1"/>
  </r>
  <r>
    <n v="1021"/>
    <n v="51"/>
    <n v="37"/>
    <n v="0"/>
    <n v="0"/>
    <n v="8798.5930000000008"/>
    <s v="southwest"/>
    <x v="0"/>
    <s v="male"/>
    <n v="5"/>
    <x v="2"/>
  </r>
  <r>
    <n v="1097"/>
    <n v="51"/>
    <n v="34.96"/>
    <n v="2"/>
    <n v="1"/>
    <n v="44641.197399999997"/>
    <s v="northeast"/>
    <x v="1"/>
    <s v="female"/>
    <n v="5"/>
    <x v="2"/>
  </r>
  <r>
    <n v="1204"/>
    <n v="51"/>
    <n v="32.299999999999997"/>
    <n v="1"/>
    <n v="0"/>
    <n v="9964.06"/>
    <s v="northeast"/>
    <x v="0"/>
    <s v="male"/>
    <n v="4"/>
    <x v="0"/>
  </r>
  <r>
    <n v="1257"/>
    <n v="51"/>
    <n v="36.384999999999998"/>
    <n v="3"/>
    <n v="0"/>
    <n v="11436.738149999999"/>
    <s v="northwest"/>
    <x v="0"/>
    <s v="female"/>
    <n v="5"/>
    <x v="2"/>
  </r>
  <r>
    <n v="1328"/>
    <n v="51"/>
    <n v="30.03"/>
    <n v="1"/>
    <n v="0"/>
    <n v="9377.9046999999991"/>
    <s v="southeast"/>
    <x v="0"/>
    <s v="male"/>
    <n v="4"/>
    <x v="0"/>
  </r>
  <r>
    <n v="17"/>
    <n v="52"/>
    <n v="30.78"/>
    <n v="1"/>
    <n v="0"/>
    <n v="10797.3362"/>
    <s v="northeast"/>
    <x v="0"/>
    <s v="female"/>
    <n v="4"/>
    <x v="0"/>
  </r>
  <r>
    <n v="115"/>
    <n v="52"/>
    <n v="32.204999999999998"/>
    <n v="3"/>
    <n v="0"/>
    <n v="11488.31695"/>
    <s v="northeast"/>
    <x v="0"/>
    <s v="male"/>
    <n v="4"/>
    <x v="0"/>
  </r>
  <r>
    <n v="128"/>
    <n v="52"/>
    <n v="37.4"/>
    <n v="0"/>
    <n v="0"/>
    <n v="9634.5380000000005"/>
    <s v="southwest"/>
    <x v="0"/>
    <s v="female"/>
    <n v="5"/>
    <x v="2"/>
  </r>
  <r>
    <n v="263"/>
    <n v="52"/>
    <n v="24.32"/>
    <n v="3"/>
    <n v="1"/>
    <n v="24869.836800000001"/>
    <s v="northeast"/>
    <x v="1"/>
    <s v="male"/>
    <n v="2"/>
    <x v="3"/>
  </r>
  <r>
    <n v="285"/>
    <n v="52"/>
    <n v="31.2"/>
    <n v="0"/>
    <n v="0"/>
    <n v="9625.92"/>
    <s v="southwest"/>
    <x v="0"/>
    <s v="female"/>
    <n v="4"/>
    <x v="0"/>
  </r>
  <r>
    <n v="290"/>
    <n v="52"/>
    <n v="26.4"/>
    <n v="3"/>
    <n v="0"/>
    <n v="25992.821039999999"/>
    <s v="southeast"/>
    <x v="0"/>
    <s v="male"/>
    <n v="3"/>
    <x v="1"/>
  </r>
  <r>
    <n v="316"/>
    <n v="52"/>
    <n v="33.25"/>
    <n v="0"/>
    <n v="0"/>
    <n v="9722.7695000000003"/>
    <s v="northeast"/>
    <x v="0"/>
    <s v="male"/>
    <n v="4"/>
    <x v="0"/>
  </r>
  <r>
    <n v="330"/>
    <n v="52"/>
    <n v="36.700000000000003"/>
    <n v="0"/>
    <n v="0"/>
    <n v="9144.5650000000005"/>
    <s v="southwest"/>
    <x v="0"/>
    <s v="male"/>
    <n v="5"/>
    <x v="2"/>
  </r>
  <r>
    <n v="332"/>
    <n v="52"/>
    <n v="27.36"/>
    <n v="0"/>
    <n v="1"/>
    <n v="24393.6224"/>
    <s v="northwest"/>
    <x v="1"/>
    <s v="male"/>
    <n v="3"/>
    <x v="1"/>
  </r>
  <r>
    <n v="406"/>
    <n v="52"/>
    <n v="38.380000000000003"/>
    <n v="2"/>
    <n v="0"/>
    <n v="11396.9002"/>
    <s v="northeast"/>
    <x v="0"/>
    <s v="female"/>
    <n v="5"/>
    <x v="2"/>
  </r>
  <r>
    <n v="417"/>
    <n v="52"/>
    <n v="34.1"/>
    <n v="0"/>
    <n v="0"/>
    <n v="9140.9509999999991"/>
    <s v="southeast"/>
    <x v="0"/>
    <s v="male"/>
    <n v="4"/>
    <x v="0"/>
  </r>
  <r>
    <n v="439"/>
    <n v="52"/>
    <n v="46.75"/>
    <n v="5"/>
    <n v="0"/>
    <n v="12592.5345"/>
    <s v="southeast"/>
    <x v="0"/>
    <s v="female"/>
    <n v="6"/>
    <x v="5"/>
  </r>
  <r>
    <n v="554"/>
    <n v="52"/>
    <n v="31.73"/>
    <n v="2"/>
    <n v="0"/>
    <n v="11187.6567"/>
    <s v="northwest"/>
    <x v="0"/>
    <s v="female"/>
    <n v="4"/>
    <x v="0"/>
  </r>
  <r>
    <n v="579"/>
    <n v="52"/>
    <n v="30.2"/>
    <n v="1"/>
    <n v="0"/>
    <n v="9724.5300000000007"/>
    <s v="southwest"/>
    <x v="0"/>
    <s v="male"/>
    <n v="4"/>
    <x v="0"/>
  </r>
  <r>
    <n v="600"/>
    <n v="52"/>
    <n v="37.524999999999999"/>
    <n v="2"/>
    <n v="0"/>
    <n v="33471.971890000001"/>
    <s v="northwest"/>
    <x v="0"/>
    <s v="female"/>
    <n v="5"/>
    <x v="2"/>
  </r>
  <r>
    <n v="656"/>
    <n v="52"/>
    <n v="25.3"/>
    <n v="2"/>
    <n v="1"/>
    <n v="24667.419000000002"/>
    <s v="southeast"/>
    <x v="1"/>
    <s v="female"/>
    <n v="3"/>
    <x v="1"/>
  </r>
  <r>
    <n v="965"/>
    <n v="52"/>
    <n v="36.765000000000001"/>
    <n v="2"/>
    <n v="0"/>
    <n v="26467.09737"/>
    <s v="northwest"/>
    <x v="0"/>
    <s v="male"/>
    <n v="5"/>
    <x v="2"/>
  </r>
  <r>
    <n v="1089"/>
    <n v="52"/>
    <n v="47.74"/>
    <n v="1"/>
    <n v="0"/>
    <n v="9748.9105999999992"/>
    <s v="southeast"/>
    <x v="0"/>
    <s v="male"/>
    <n v="6"/>
    <x v="5"/>
  </r>
  <r>
    <n v="1099"/>
    <n v="52"/>
    <n v="30.875"/>
    <n v="0"/>
    <n v="0"/>
    <n v="23045.566159999998"/>
    <s v="northeast"/>
    <x v="0"/>
    <s v="female"/>
    <n v="4"/>
    <x v="0"/>
  </r>
  <r>
    <n v="1134"/>
    <n v="52"/>
    <n v="18.335000000000001"/>
    <n v="0"/>
    <n v="0"/>
    <n v="9991.0376500000002"/>
    <s v="northwest"/>
    <x v="0"/>
    <s v="female"/>
    <n v="1"/>
    <x v="4"/>
  </r>
  <r>
    <n v="1143"/>
    <n v="52"/>
    <n v="24.86"/>
    <n v="0"/>
    <n v="0"/>
    <n v="27117.993780000001"/>
    <s v="southeast"/>
    <x v="0"/>
    <s v="female"/>
    <n v="2"/>
    <x v="3"/>
  </r>
  <r>
    <n v="1146"/>
    <n v="52"/>
    <n v="32.774999999999999"/>
    <n v="3"/>
    <n v="0"/>
    <n v="11289.10925"/>
    <s v="northwest"/>
    <x v="0"/>
    <s v="male"/>
    <n v="4"/>
    <x v="0"/>
  </r>
  <r>
    <n v="1177"/>
    <n v="52"/>
    <n v="24.13"/>
    <n v="1"/>
    <n v="1"/>
    <n v="23887.662700000001"/>
    <s v="northwest"/>
    <x v="1"/>
    <s v="female"/>
    <n v="2"/>
    <x v="3"/>
  </r>
  <r>
    <n v="1214"/>
    <n v="52"/>
    <n v="33.299999999999997"/>
    <n v="2"/>
    <n v="0"/>
    <n v="10806.839"/>
    <s v="southwest"/>
    <x v="0"/>
    <s v="female"/>
    <n v="4"/>
    <x v="0"/>
  </r>
  <r>
    <n v="1231"/>
    <n v="52"/>
    <n v="34.484999999999999"/>
    <n v="3"/>
    <n v="1"/>
    <n v="60021.398970000002"/>
    <s v="northwest"/>
    <x v="1"/>
    <s v="male"/>
    <n v="4"/>
    <x v="0"/>
  </r>
  <r>
    <n v="1241"/>
    <n v="52"/>
    <n v="41.8"/>
    <n v="2"/>
    <n v="1"/>
    <n v="47269.853999999999"/>
    <s v="southeast"/>
    <x v="1"/>
    <s v="male"/>
    <n v="6"/>
    <x v="5"/>
  </r>
  <r>
    <n v="1260"/>
    <n v="52"/>
    <n v="23.18"/>
    <n v="0"/>
    <n v="0"/>
    <n v="10197.772199999999"/>
    <s v="northeast"/>
    <x v="0"/>
    <s v="female"/>
    <n v="2"/>
    <x v="3"/>
  </r>
  <r>
    <n v="1330"/>
    <n v="52"/>
    <n v="38.6"/>
    <n v="2"/>
    <n v="0"/>
    <n v="10325.206"/>
    <s v="southwest"/>
    <x v="0"/>
    <s v="male"/>
    <n v="5"/>
    <x v="2"/>
  </r>
  <r>
    <n v="1333"/>
    <n v="52"/>
    <n v="44.7"/>
    <n v="3"/>
    <n v="0"/>
    <n v="11411.684999999999"/>
    <s v="southwest"/>
    <x v="0"/>
    <s v="female"/>
    <n v="6"/>
    <x v="5"/>
  </r>
  <r>
    <n v="59"/>
    <n v="53"/>
    <n v="22.88"/>
    <n v="1"/>
    <n v="1"/>
    <n v="23244.790199999999"/>
    <s v="southeast"/>
    <x v="1"/>
    <s v="female"/>
    <n v="2"/>
    <x v="3"/>
  </r>
  <r>
    <n v="73"/>
    <n v="53"/>
    <n v="28.1"/>
    <n v="3"/>
    <n v="0"/>
    <n v="11741.726000000001"/>
    <s v="southwest"/>
    <x v="0"/>
    <s v="female"/>
    <n v="3"/>
    <x v="1"/>
  </r>
  <r>
    <n v="92"/>
    <n v="53"/>
    <n v="24.795000000000002"/>
    <n v="1"/>
    <n v="0"/>
    <n v="10942.13205"/>
    <s v="northwest"/>
    <x v="0"/>
    <s v="female"/>
    <n v="2"/>
    <x v="3"/>
  </r>
  <r>
    <n v="133"/>
    <n v="53"/>
    <n v="35.9"/>
    <n v="2"/>
    <n v="0"/>
    <n v="11163.567999999999"/>
    <s v="southwest"/>
    <x v="0"/>
    <s v="female"/>
    <n v="5"/>
    <x v="2"/>
  </r>
  <r>
    <n v="149"/>
    <n v="53"/>
    <n v="37.43"/>
    <n v="1"/>
    <n v="0"/>
    <n v="10959.6947"/>
    <s v="northwest"/>
    <x v="0"/>
    <s v="female"/>
    <n v="5"/>
    <x v="2"/>
  </r>
  <r>
    <n v="217"/>
    <n v="53"/>
    <n v="26.6"/>
    <n v="0"/>
    <n v="0"/>
    <n v="10355.641"/>
    <s v="northwest"/>
    <x v="0"/>
    <s v="female"/>
    <n v="3"/>
    <x v="1"/>
  </r>
  <r>
    <n v="222"/>
    <n v="53"/>
    <n v="33.25"/>
    <n v="0"/>
    <n v="0"/>
    <n v="10564.8845"/>
    <s v="northeast"/>
    <x v="0"/>
    <s v="female"/>
    <n v="4"/>
    <x v="0"/>
  </r>
  <r>
    <n v="265"/>
    <n v="53"/>
    <n v="38.06"/>
    <n v="3"/>
    <n v="0"/>
    <n v="20462.997660000001"/>
    <s v="southeast"/>
    <x v="0"/>
    <s v="female"/>
    <n v="5"/>
    <x v="2"/>
  </r>
  <r>
    <n v="302"/>
    <n v="53"/>
    <n v="22.61"/>
    <n v="3"/>
    <n v="1"/>
    <n v="24873.384900000001"/>
    <s v="northeast"/>
    <x v="1"/>
    <s v="female"/>
    <n v="2"/>
    <x v="3"/>
  </r>
  <r>
    <n v="490"/>
    <n v="53"/>
    <n v="31.16"/>
    <n v="1"/>
    <n v="0"/>
    <n v="10461.9794"/>
    <s v="northwest"/>
    <x v="0"/>
    <s v="male"/>
    <n v="4"/>
    <x v="0"/>
  </r>
  <r>
    <n v="540"/>
    <n v="53"/>
    <n v="31.35"/>
    <n v="0"/>
    <n v="0"/>
    <n v="27346.04207"/>
    <s v="southeast"/>
    <x v="0"/>
    <s v="male"/>
    <n v="4"/>
    <x v="0"/>
  </r>
  <r>
    <n v="631"/>
    <n v="53"/>
    <n v="36.1"/>
    <n v="1"/>
    <n v="0"/>
    <n v="10085.846"/>
    <s v="southwest"/>
    <x v="0"/>
    <s v="male"/>
    <n v="5"/>
    <x v="2"/>
  </r>
  <r>
    <n v="652"/>
    <n v="53"/>
    <n v="39.6"/>
    <n v="1"/>
    <n v="0"/>
    <n v="10579.710999999999"/>
    <s v="southeast"/>
    <x v="0"/>
    <s v="female"/>
    <n v="5"/>
    <x v="2"/>
  </r>
  <r>
    <n v="684"/>
    <n v="53"/>
    <n v="24.32"/>
    <n v="0"/>
    <n v="0"/>
    <n v="9863.4717999999993"/>
    <s v="northwest"/>
    <x v="0"/>
    <s v="male"/>
    <n v="2"/>
    <x v="3"/>
  </r>
  <r>
    <n v="686"/>
    <n v="53"/>
    <n v="26.41"/>
    <n v="2"/>
    <n v="0"/>
    <n v="11244.376899999999"/>
    <s v="northeast"/>
    <x v="0"/>
    <s v="male"/>
    <n v="3"/>
    <x v="1"/>
  </r>
  <r>
    <n v="697"/>
    <n v="53"/>
    <n v="32.299999999999997"/>
    <n v="2"/>
    <n v="0"/>
    <n v="29186.482360000002"/>
    <s v="northeast"/>
    <x v="0"/>
    <s v="female"/>
    <n v="4"/>
    <x v="0"/>
  </r>
  <r>
    <n v="703"/>
    <n v="53"/>
    <n v="41.47"/>
    <n v="0"/>
    <n v="0"/>
    <n v="9504.3102999999992"/>
    <s v="southeast"/>
    <x v="0"/>
    <s v="male"/>
    <n v="6"/>
    <x v="5"/>
  </r>
  <r>
    <n v="722"/>
    <n v="53"/>
    <n v="36.6"/>
    <n v="3"/>
    <n v="0"/>
    <n v="11264.540999999999"/>
    <s v="southwest"/>
    <x v="0"/>
    <s v="male"/>
    <n v="5"/>
    <x v="2"/>
  </r>
  <r>
    <n v="732"/>
    <n v="53"/>
    <n v="21.4"/>
    <n v="1"/>
    <n v="0"/>
    <n v="10065.413"/>
    <s v="southwest"/>
    <x v="0"/>
    <s v="male"/>
    <n v="2"/>
    <x v="3"/>
  </r>
  <r>
    <n v="743"/>
    <n v="53"/>
    <n v="34.104999999999997"/>
    <n v="0"/>
    <n v="1"/>
    <n v="43254.417950000003"/>
    <s v="northeast"/>
    <x v="1"/>
    <s v="male"/>
    <n v="4"/>
    <x v="0"/>
  </r>
  <r>
    <n v="772"/>
    <n v="53"/>
    <n v="26.7"/>
    <n v="2"/>
    <n v="0"/>
    <n v="11150.78"/>
    <s v="southwest"/>
    <x v="0"/>
    <s v="female"/>
    <n v="3"/>
    <x v="1"/>
  </r>
  <r>
    <n v="780"/>
    <n v="53"/>
    <n v="28.88"/>
    <n v="0"/>
    <n v="0"/>
    <n v="9869.8101999999999"/>
    <s v="northwest"/>
    <x v="0"/>
    <s v="male"/>
    <n v="3"/>
    <x v="1"/>
  </r>
  <r>
    <n v="794"/>
    <n v="53"/>
    <n v="20.9"/>
    <n v="0"/>
    <n v="1"/>
    <n v="21195.817999999999"/>
    <s v="southeast"/>
    <x v="1"/>
    <s v="male"/>
    <n v="2"/>
    <x v="3"/>
  </r>
  <r>
    <n v="845"/>
    <n v="53"/>
    <n v="30.495000000000001"/>
    <n v="0"/>
    <n v="0"/>
    <n v="10072.055050000001"/>
    <s v="northeast"/>
    <x v="0"/>
    <s v="male"/>
    <n v="4"/>
    <x v="0"/>
  </r>
  <r>
    <n v="854"/>
    <n v="53"/>
    <n v="23.75"/>
    <n v="2"/>
    <n v="0"/>
    <n v="11729.6795"/>
    <s v="northeast"/>
    <x v="0"/>
    <s v="female"/>
    <n v="2"/>
    <x v="3"/>
  </r>
  <r>
    <n v="940"/>
    <n v="53"/>
    <n v="29.48"/>
    <n v="0"/>
    <n v="0"/>
    <n v="9487.6442000000006"/>
    <s v="southeast"/>
    <x v="0"/>
    <s v="male"/>
    <n v="3"/>
    <x v="1"/>
  </r>
  <r>
    <n v="1102"/>
    <n v="53"/>
    <n v="28.6"/>
    <n v="3"/>
    <n v="0"/>
    <n v="11253.421"/>
    <s v="southwest"/>
    <x v="0"/>
    <s v="male"/>
    <n v="3"/>
    <x v="1"/>
  </r>
  <r>
    <n v="1123"/>
    <n v="53"/>
    <n v="36.86"/>
    <n v="3"/>
    <n v="1"/>
    <n v="46661.4424"/>
    <s v="northwest"/>
    <x v="1"/>
    <s v="female"/>
    <n v="5"/>
    <x v="2"/>
  </r>
  <r>
    <n v="97"/>
    <n v="54"/>
    <n v="30.8"/>
    <n v="3"/>
    <n v="0"/>
    <n v="12105.32"/>
    <s v="southwest"/>
    <x v="0"/>
    <s v="female"/>
    <n v="4"/>
    <x v="0"/>
  </r>
  <r>
    <n v="111"/>
    <n v="54"/>
    <n v="33.630000000000003"/>
    <n v="1"/>
    <n v="0"/>
    <n v="10825.253699999999"/>
    <s v="northwest"/>
    <x v="0"/>
    <s v="male"/>
    <n v="4"/>
    <x v="0"/>
  </r>
  <r>
    <n v="139"/>
    <n v="54"/>
    <n v="31.9"/>
    <n v="3"/>
    <n v="0"/>
    <n v="27322.73386"/>
    <s v="southeast"/>
    <x v="0"/>
    <s v="female"/>
    <n v="4"/>
    <x v="0"/>
  </r>
  <r>
    <n v="163"/>
    <n v="54"/>
    <n v="39.6"/>
    <n v="1"/>
    <n v="0"/>
    <n v="10450.552"/>
    <s v="southwest"/>
    <x v="0"/>
    <s v="male"/>
    <n v="5"/>
    <x v="2"/>
  </r>
  <r>
    <n v="178"/>
    <n v="54"/>
    <n v="29.2"/>
    <n v="1"/>
    <n v="0"/>
    <n v="10436.096"/>
    <s v="southwest"/>
    <x v="0"/>
    <s v="male"/>
    <n v="3"/>
    <x v="1"/>
  </r>
  <r>
    <n v="246"/>
    <n v="54"/>
    <n v="30.02"/>
    <n v="0"/>
    <n v="0"/>
    <n v="24476.478510000001"/>
    <s v="northwest"/>
    <x v="0"/>
    <s v="male"/>
    <n v="4"/>
    <x v="0"/>
  </r>
  <r>
    <n v="253"/>
    <n v="54"/>
    <n v="34.21"/>
    <n v="2"/>
    <n v="1"/>
    <n v="44260.749900000003"/>
    <s v="southeast"/>
    <x v="1"/>
    <s v="male"/>
    <n v="4"/>
    <x v="0"/>
  </r>
  <r>
    <n v="282"/>
    <n v="54"/>
    <n v="40.564999999999998"/>
    <n v="3"/>
    <n v="1"/>
    <n v="48549.178350000002"/>
    <s v="northeast"/>
    <x v="1"/>
    <s v="male"/>
    <n v="6"/>
    <x v="5"/>
  </r>
  <r>
    <n v="318"/>
    <n v="54"/>
    <n v="32.774999999999999"/>
    <n v="0"/>
    <n v="0"/>
    <n v="10435.06525"/>
    <s v="northeast"/>
    <x v="0"/>
    <s v="male"/>
    <n v="4"/>
    <x v="0"/>
  </r>
  <r>
    <n v="475"/>
    <n v="54"/>
    <n v="25.1"/>
    <n v="3"/>
    <n v="1"/>
    <n v="25382.296999999999"/>
    <s v="southwest"/>
    <x v="1"/>
    <s v="male"/>
    <n v="3"/>
    <x v="1"/>
  </r>
  <r>
    <n v="487"/>
    <n v="54"/>
    <n v="21.47"/>
    <n v="3"/>
    <n v="0"/>
    <n v="12475.3513"/>
    <s v="northwest"/>
    <x v="0"/>
    <s v="female"/>
    <n v="2"/>
    <x v="3"/>
  </r>
  <r>
    <n v="544"/>
    <n v="54"/>
    <n v="47.41"/>
    <n v="0"/>
    <n v="1"/>
    <n v="63770.428010000003"/>
    <s v="southeast"/>
    <x v="1"/>
    <s v="female"/>
    <n v="6"/>
    <x v="5"/>
  </r>
  <r>
    <n v="545"/>
    <n v="54"/>
    <n v="30.21"/>
    <n v="0"/>
    <n v="0"/>
    <n v="10231.499900000001"/>
    <s v="northwest"/>
    <x v="0"/>
    <s v="male"/>
    <n v="4"/>
    <x v="0"/>
  </r>
  <r>
    <n v="548"/>
    <n v="54"/>
    <n v="46.7"/>
    <n v="2"/>
    <n v="0"/>
    <n v="11538.421"/>
    <s v="southwest"/>
    <x v="0"/>
    <s v="female"/>
    <n v="6"/>
    <x v="5"/>
  </r>
  <r>
    <n v="562"/>
    <n v="54"/>
    <n v="32.68"/>
    <n v="0"/>
    <n v="0"/>
    <n v="10923.933199999999"/>
    <s v="northeast"/>
    <x v="0"/>
    <s v="female"/>
    <n v="4"/>
    <x v="0"/>
  </r>
  <r>
    <n v="813"/>
    <n v="54"/>
    <n v="21.01"/>
    <n v="2"/>
    <n v="0"/>
    <n v="11013.7119"/>
    <s v="southeast"/>
    <x v="0"/>
    <s v="male"/>
    <n v="2"/>
    <x v="3"/>
  </r>
  <r>
    <n v="893"/>
    <n v="54"/>
    <n v="24.035"/>
    <n v="0"/>
    <n v="0"/>
    <n v="10422.916649999999"/>
    <s v="northeast"/>
    <x v="0"/>
    <s v="male"/>
    <n v="2"/>
    <x v="3"/>
  </r>
  <r>
    <n v="957"/>
    <n v="54"/>
    <n v="30.8"/>
    <n v="1"/>
    <n v="1"/>
    <n v="41999.519999999997"/>
    <s v="southeast"/>
    <x v="1"/>
    <s v="male"/>
    <n v="4"/>
    <x v="0"/>
  </r>
  <r>
    <n v="981"/>
    <n v="54"/>
    <n v="25.46"/>
    <n v="1"/>
    <n v="0"/>
    <n v="25517.11363"/>
    <s v="northeast"/>
    <x v="0"/>
    <s v="male"/>
    <n v="3"/>
    <x v="1"/>
  </r>
  <r>
    <n v="1019"/>
    <n v="54"/>
    <n v="35.814999999999998"/>
    <n v="3"/>
    <n v="0"/>
    <n v="12495.290849999999"/>
    <s v="northwest"/>
    <x v="0"/>
    <s v="female"/>
    <n v="5"/>
    <x v="2"/>
  </r>
  <r>
    <n v="1029"/>
    <n v="54"/>
    <n v="31.6"/>
    <n v="0"/>
    <n v="0"/>
    <n v="9850.4320000000007"/>
    <s v="southwest"/>
    <x v="0"/>
    <s v="male"/>
    <n v="4"/>
    <x v="0"/>
  </r>
  <r>
    <n v="1036"/>
    <n v="54"/>
    <n v="23"/>
    <n v="3"/>
    <n v="0"/>
    <n v="12094.477999999999"/>
    <s v="southwest"/>
    <x v="0"/>
    <s v="female"/>
    <n v="2"/>
    <x v="3"/>
  </r>
  <r>
    <n v="1070"/>
    <n v="54"/>
    <n v="31.9"/>
    <n v="1"/>
    <n v="0"/>
    <n v="10928.849"/>
    <s v="southeast"/>
    <x v="0"/>
    <s v="female"/>
    <n v="4"/>
    <x v="0"/>
  </r>
  <r>
    <n v="1074"/>
    <n v="54"/>
    <n v="28.88"/>
    <n v="2"/>
    <n v="0"/>
    <n v="12096.6512"/>
    <s v="northeast"/>
    <x v="0"/>
    <s v="female"/>
    <n v="3"/>
    <x v="1"/>
  </r>
  <r>
    <n v="1106"/>
    <n v="54"/>
    <n v="31.24"/>
    <n v="0"/>
    <n v="0"/>
    <n v="10338.9316"/>
    <s v="southeast"/>
    <x v="0"/>
    <s v="female"/>
    <n v="4"/>
    <x v="0"/>
  </r>
  <r>
    <n v="1111"/>
    <n v="54"/>
    <n v="32.299999999999997"/>
    <n v="1"/>
    <n v="0"/>
    <n v="11512.405000000001"/>
    <s v="northeast"/>
    <x v="0"/>
    <s v="female"/>
    <n v="4"/>
    <x v="0"/>
  </r>
  <r>
    <n v="1233"/>
    <n v="54"/>
    <n v="24.605"/>
    <n v="3"/>
    <n v="0"/>
    <n v="12479.70895"/>
    <s v="northwest"/>
    <x v="0"/>
    <s v="female"/>
    <n v="2"/>
    <x v="3"/>
  </r>
  <r>
    <n v="1258"/>
    <n v="54"/>
    <n v="27.645"/>
    <n v="1"/>
    <n v="0"/>
    <n v="11305.93455"/>
    <s v="northwest"/>
    <x v="0"/>
    <s v="female"/>
    <n v="3"/>
    <x v="1"/>
  </r>
  <r>
    <n v="28"/>
    <n v="55"/>
    <n v="32.774999999999999"/>
    <n v="2"/>
    <n v="0"/>
    <n v="12268.632250000001"/>
    <s v="northwest"/>
    <x v="0"/>
    <s v="female"/>
    <n v="4"/>
    <x v="0"/>
  </r>
  <r>
    <n v="46"/>
    <n v="55"/>
    <n v="37.299999999999997"/>
    <n v="0"/>
    <n v="0"/>
    <n v="20630.283510000001"/>
    <s v="southwest"/>
    <x v="0"/>
    <s v="male"/>
    <n v="5"/>
    <x v="2"/>
  </r>
  <r>
    <n v="90"/>
    <n v="55"/>
    <n v="26.98"/>
    <n v="0"/>
    <n v="0"/>
    <n v="11082.5772"/>
    <s v="northwest"/>
    <x v="0"/>
    <s v="female"/>
    <n v="3"/>
    <x v="1"/>
  </r>
  <r>
    <n v="98"/>
    <n v="55"/>
    <n v="38.28"/>
    <n v="0"/>
    <n v="0"/>
    <n v="10226.2842"/>
    <s v="southeast"/>
    <x v="0"/>
    <s v="male"/>
    <n v="5"/>
    <x v="2"/>
  </r>
  <r>
    <n v="112"/>
    <n v="55"/>
    <n v="29.7"/>
    <n v="2"/>
    <n v="0"/>
    <n v="11881.358"/>
    <s v="southwest"/>
    <x v="0"/>
    <s v="female"/>
    <n v="3"/>
    <x v="1"/>
  </r>
  <r>
    <n v="226"/>
    <n v="55"/>
    <n v="33.880000000000003"/>
    <n v="3"/>
    <n v="0"/>
    <n v="11987.1682"/>
    <s v="southeast"/>
    <x v="0"/>
    <s v="male"/>
    <n v="4"/>
    <x v="0"/>
  </r>
  <r>
    <n v="243"/>
    <n v="55"/>
    <n v="26.8"/>
    <n v="1"/>
    <n v="0"/>
    <n v="35160.134570000002"/>
    <s v="southwest"/>
    <x v="0"/>
    <s v="female"/>
    <n v="3"/>
    <x v="1"/>
  </r>
  <r>
    <n v="256"/>
    <n v="55"/>
    <n v="25.364999999999998"/>
    <n v="3"/>
    <n v="0"/>
    <n v="13047.332350000001"/>
    <s v="northeast"/>
    <x v="0"/>
    <s v="female"/>
    <n v="3"/>
    <x v="1"/>
  </r>
  <r>
    <n v="284"/>
    <n v="55"/>
    <n v="32.395000000000003"/>
    <n v="1"/>
    <n v="0"/>
    <n v="11879.10405"/>
    <s v="northeast"/>
    <x v="0"/>
    <s v="female"/>
    <n v="4"/>
    <x v="0"/>
  </r>
  <r>
    <n v="382"/>
    <n v="55"/>
    <n v="30.684999999999999"/>
    <n v="0"/>
    <n v="1"/>
    <n v="42303.692150000003"/>
    <s v="northeast"/>
    <x v="1"/>
    <s v="male"/>
    <n v="4"/>
    <x v="0"/>
  </r>
  <r>
    <n v="383"/>
    <n v="55"/>
    <n v="33"/>
    <n v="0"/>
    <n v="0"/>
    <n v="20781.48892"/>
    <s v="southeast"/>
    <x v="0"/>
    <s v="male"/>
    <n v="4"/>
    <x v="0"/>
  </r>
  <r>
    <n v="457"/>
    <n v="55"/>
    <n v="30.14"/>
    <n v="2"/>
    <n v="0"/>
    <n v="11881.9696"/>
    <s v="southeast"/>
    <x v="0"/>
    <s v="female"/>
    <n v="4"/>
    <x v="0"/>
  </r>
  <r>
    <n v="620"/>
    <n v="55"/>
    <n v="37.1"/>
    <n v="0"/>
    <n v="0"/>
    <n v="10713.644"/>
    <s v="southwest"/>
    <x v="0"/>
    <s v="female"/>
    <n v="5"/>
    <x v="2"/>
  </r>
  <r>
    <n v="677"/>
    <n v="55"/>
    <n v="40.81"/>
    <n v="3"/>
    <n v="0"/>
    <n v="12485.8009"/>
    <s v="southeast"/>
    <x v="0"/>
    <s v="female"/>
    <n v="6"/>
    <x v="5"/>
  </r>
  <r>
    <n v="850"/>
    <n v="55"/>
    <n v="32.774999999999999"/>
    <n v="0"/>
    <n v="0"/>
    <n v="10601.632250000001"/>
    <s v="northwest"/>
    <x v="0"/>
    <s v="male"/>
    <n v="4"/>
    <x v="0"/>
  </r>
  <r>
    <n v="863"/>
    <n v="55"/>
    <n v="33.534999999999997"/>
    <n v="2"/>
    <n v="0"/>
    <n v="12269.68865"/>
    <s v="northwest"/>
    <x v="0"/>
    <s v="female"/>
    <n v="4"/>
    <x v="0"/>
  </r>
  <r>
    <n v="1032"/>
    <n v="55"/>
    <n v="35.200000000000003"/>
    <n v="0"/>
    <n v="1"/>
    <n v="44423.803"/>
    <s v="southeast"/>
    <x v="1"/>
    <s v="female"/>
    <n v="5"/>
    <x v="2"/>
  </r>
  <r>
    <n v="1045"/>
    <n v="55"/>
    <n v="35.244999999999997"/>
    <n v="1"/>
    <n v="0"/>
    <n v="11394.065549999999"/>
    <s v="northeast"/>
    <x v="0"/>
    <s v="male"/>
    <n v="5"/>
    <x v="2"/>
  </r>
  <r>
    <n v="1056"/>
    <n v="55"/>
    <n v="27.645"/>
    <n v="0"/>
    <n v="0"/>
    <n v="10594.501550000001"/>
    <s v="northwest"/>
    <x v="0"/>
    <s v="male"/>
    <n v="3"/>
    <x v="1"/>
  </r>
  <r>
    <n v="1087"/>
    <n v="55"/>
    <n v="28.975000000000001"/>
    <n v="0"/>
    <n v="0"/>
    <n v="10796.35025"/>
    <s v="northeast"/>
    <x v="0"/>
    <s v="male"/>
    <n v="3"/>
    <x v="1"/>
  </r>
  <r>
    <n v="1092"/>
    <n v="55"/>
    <n v="29.83"/>
    <n v="0"/>
    <n v="0"/>
    <n v="11286.538699999999"/>
    <s v="northeast"/>
    <x v="0"/>
    <s v="female"/>
    <n v="3"/>
    <x v="1"/>
  </r>
  <r>
    <n v="1116"/>
    <n v="55"/>
    <n v="32.67"/>
    <n v="1"/>
    <n v="0"/>
    <n v="10807.4863"/>
    <s v="southeast"/>
    <x v="0"/>
    <s v="male"/>
    <n v="4"/>
    <x v="0"/>
  </r>
  <r>
    <n v="1127"/>
    <n v="55"/>
    <n v="29.9"/>
    <n v="0"/>
    <n v="0"/>
    <n v="10214.636"/>
    <s v="southwest"/>
    <x v="0"/>
    <s v="male"/>
    <n v="3"/>
    <x v="1"/>
  </r>
  <r>
    <n v="1149"/>
    <n v="55"/>
    <n v="21.5"/>
    <n v="1"/>
    <n v="0"/>
    <n v="10791.96"/>
    <s v="southwest"/>
    <x v="0"/>
    <s v="male"/>
    <n v="2"/>
    <x v="3"/>
  </r>
  <r>
    <n v="1259"/>
    <n v="55"/>
    <n v="37.715000000000003"/>
    <n v="3"/>
    <n v="0"/>
    <n v="30063.580549999999"/>
    <s v="northwest"/>
    <x v="0"/>
    <s v="male"/>
    <n v="5"/>
    <x v="2"/>
  </r>
  <r>
    <n v="1267"/>
    <n v="55"/>
    <n v="30.5"/>
    <n v="0"/>
    <n v="0"/>
    <n v="10704.47"/>
    <s v="southwest"/>
    <x v="0"/>
    <s v="female"/>
    <n v="4"/>
    <x v="0"/>
  </r>
  <r>
    <n v="14"/>
    <n v="56"/>
    <n v="39.82"/>
    <n v="0"/>
    <n v="0"/>
    <n v="11090.7178"/>
    <s v="southeast"/>
    <x v="0"/>
    <s v="female"/>
    <n v="5"/>
    <x v="2"/>
  </r>
  <r>
    <n v="19"/>
    <n v="56"/>
    <n v="40.299999999999997"/>
    <n v="0"/>
    <n v="0"/>
    <n v="10602.385"/>
    <s v="southwest"/>
    <x v="0"/>
    <s v="male"/>
    <n v="6"/>
    <x v="5"/>
  </r>
  <r>
    <n v="88"/>
    <n v="56"/>
    <n v="27.2"/>
    <n v="0"/>
    <n v="0"/>
    <n v="11073.175999999999"/>
    <s v="southwest"/>
    <x v="0"/>
    <s v="female"/>
    <n v="3"/>
    <x v="1"/>
  </r>
  <r>
    <n v="99"/>
    <n v="56"/>
    <n v="19.95"/>
    <n v="0"/>
    <n v="1"/>
    <n v="22412.648499999999"/>
    <s v="northeast"/>
    <x v="1"/>
    <s v="male"/>
    <n v="2"/>
    <x v="3"/>
  </r>
  <r>
    <n v="194"/>
    <n v="56"/>
    <n v="26.6"/>
    <n v="1"/>
    <n v="0"/>
    <n v="12044.342000000001"/>
    <s v="northwest"/>
    <x v="0"/>
    <s v="female"/>
    <n v="3"/>
    <x v="1"/>
  </r>
  <r>
    <n v="257"/>
    <n v="56"/>
    <n v="33.630000000000003"/>
    <n v="0"/>
    <n v="1"/>
    <n v="43921.183700000001"/>
    <s v="northwest"/>
    <x v="1"/>
    <s v="male"/>
    <n v="4"/>
    <x v="0"/>
  </r>
  <r>
    <n v="303"/>
    <n v="56"/>
    <n v="37.51"/>
    <n v="2"/>
    <n v="0"/>
    <n v="12265.5069"/>
    <s v="southeast"/>
    <x v="0"/>
    <s v="female"/>
    <n v="5"/>
    <x v="2"/>
  </r>
  <r>
    <n v="334"/>
    <n v="56"/>
    <n v="28.785"/>
    <n v="0"/>
    <n v="0"/>
    <n v="11658.379150000001"/>
    <s v="northeast"/>
    <x v="0"/>
    <s v="female"/>
    <n v="3"/>
    <x v="1"/>
  </r>
  <r>
    <n v="367"/>
    <n v="56"/>
    <n v="32.299999999999997"/>
    <n v="3"/>
    <n v="0"/>
    <n v="13430.264999999999"/>
    <s v="northeast"/>
    <x v="0"/>
    <s v="female"/>
    <n v="4"/>
    <x v="0"/>
  </r>
  <r>
    <n v="445"/>
    <n v="56"/>
    <n v="26.695"/>
    <n v="1"/>
    <n v="1"/>
    <n v="26109.32905"/>
    <s v="northwest"/>
    <x v="1"/>
    <s v="male"/>
    <n v="3"/>
    <x v="1"/>
  </r>
  <r>
    <n v="448"/>
    <n v="56"/>
    <n v="25.65"/>
    <n v="0"/>
    <n v="0"/>
    <n v="11454.021500000001"/>
    <s v="northwest"/>
    <x v="0"/>
    <s v="female"/>
    <n v="3"/>
    <x v="1"/>
  </r>
  <r>
    <n v="459"/>
    <n v="56"/>
    <n v="39.6"/>
    <n v="0"/>
    <n v="0"/>
    <n v="10601.412"/>
    <s v="southwest"/>
    <x v="0"/>
    <s v="male"/>
    <n v="5"/>
    <x v="2"/>
  </r>
  <r>
    <n v="464"/>
    <n v="56"/>
    <n v="25.934999999999999"/>
    <n v="0"/>
    <n v="0"/>
    <n v="11165.417649999999"/>
    <s v="northeast"/>
    <x v="0"/>
    <s v="male"/>
    <n v="3"/>
    <x v="1"/>
  </r>
  <r>
    <n v="468"/>
    <n v="56"/>
    <n v="33.82"/>
    <n v="2"/>
    <n v="0"/>
    <n v="12643.3778"/>
    <s v="northwest"/>
    <x v="0"/>
    <s v="female"/>
    <n v="4"/>
    <x v="0"/>
  </r>
  <r>
    <n v="511"/>
    <n v="56"/>
    <n v="32.11"/>
    <n v="1"/>
    <n v="0"/>
    <n v="11763.000899999999"/>
    <s v="northeast"/>
    <x v="0"/>
    <s v="male"/>
    <n v="4"/>
    <x v="0"/>
  </r>
  <r>
    <n v="603"/>
    <n v="56"/>
    <n v="25.3"/>
    <n v="0"/>
    <n v="0"/>
    <n v="11070.535"/>
    <s v="southwest"/>
    <x v="0"/>
    <s v="female"/>
    <n v="3"/>
    <x v="1"/>
  </r>
  <r>
    <n v="617"/>
    <n v="56"/>
    <n v="28.594999999999999"/>
    <n v="0"/>
    <n v="0"/>
    <n v="11658.11505"/>
    <s v="northeast"/>
    <x v="0"/>
    <s v="female"/>
    <n v="3"/>
    <x v="1"/>
  </r>
  <r>
    <n v="640"/>
    <n v="56"/>
    <n v="33.659999999999997"/>
    <n v="4"/>
    <n v="0"/>
    <n v="12949.1554"/>
    <s v="southeast"/>
    <x v="0"/>
    <s v="male"/>
    <n v="4"/>
    <x v="0"/>
  </r>
  <r>
    <n v="679"/>
    <n v="56"/>
    <n v="36.1"/>
    <n v="3"/>
    <n v="0"/>
    <n v="12363.547"/>
    <s v="southwest"/>
    <x v="0"/>
    <s v="male"/>
    <n v="5"/>
    <x v="2"/>
  </r>
  <r>
    <n v="699"/>
    <n v="56"/>
    <n v="33.725000000000001"/>
    <n v="0"/>
    <n v="0"/>
    <n v="10976.24575"/>
    <s v="northwest"/>
    <x v="0"/>
    <s v="male"/>
    <n v="4"/>
    <x v="0"/>
  </r>
  <r>
    <n v="827"/>
    <n v="56"/>
    <n v="31.79"/>
    <n v="2"/>
    <n v="1"/>
    <n v="43813.866099999999"/>
    <s v="southeast"/>
    <x v="1"/>
    <s v="male"/>
    <n v="4"/>
    <x v="0"/>
  </r>
  <r>
    <n v="838"/>
    <n v="56"/>
    <n v="28.31"/>
    <n v="0"/>
    <n v="0"/>
    <n v="11657.7189"/>
    <s v="northeast"/>
    <x v="0"/>
    <s v="female"/>
    <n v="3"/>
    <x v="1"/>
  </r>
  <r>
    <n v="946"/>
    <n v="56"/>
    <n v="35.799999999999997"/>
    <n v="1"/>
    <n v="0"/>
    <n v="11674.13"/>
    <s v="southwest"/>
    <x v="0"/>
    <s v="female"/>
    <n v="5"/>
    <x v="2"/>
  </r>
  <r>
    <n v="1090"/>
    <n v="56"/>
    <n v="22.1"/>
    <n v="0"/>
    <n v="0"/>
    <n v="10577.087"/>
    <s v="southwest"/>
    <x v="0"/>
    <s v="male"/>
    <n v="2"/>
    <x v="3"/>
  </r>
  <r>
    <n v="1173"/>
    <n v="56"/>
    <n v="41.91"/>
    <n v="0"/>
    <n v="0"/>
    <n v="11093.6229"/>
    <s v="southeast"/>
    <x v="0"/>
    <s v="female"/>
    <n v="6"/>
    <x v="5"/>
  </r>
  <r>
    <n v="1229"/>
    <n v="56"/>
    <n v="34.43"/>
    <n v="0"/>
    <n v="0"/>
    <n v="10594.225700000001"/>
    <s v="southeast"/>
    <x v="0"/>
    <s v="male"/>
    <n v="4"/>
    <x v="0"/>
  </r>
  <r>
    <n v="76"/>
    <n v="57"/>
    <n v="34.01"/>
    <n v="0"/>
    <n v="0"/>
    <n v="11356.660900000001"/>
    <s v="northwest"/>
    <x v="0"/>
    <s v="male"/>
    <n v="4"/>
    <x v="0"/>
  </r>
  <r>
    <n v="87"/>
    <n v="57"/>
    <n v="31.16"/>
    <n v="0"/>
    <n v="1"/>
    <n v="43578.939400000003"/>
    <s v="northwest"/>
    <x v="1"/>
    <s v="female"/>
    <n v="4"/>
    <x v="0"/>
  </r>
  <r>
    <n v="305"/>
    <n v="57"/>
    <n v="38"/>
    <n v="2"/>
    <n v="0"/>
    <n v="12646.207"/>
    <s v="southwest"/>
    <x v="0"/>
    <s v="female"/>
    <n v="5"/>
    <x v="2"/>
  </r>
  <r>
    <n v="324"/>
    <n v="57"/>
    <n v="40.945"/>
    <n v="0"/>
    <n v="0"/>
    <n v="11566.30055"/>
    <s v="northeast"/>
    <x v="0"/>
    <s v="male"/>
    <n v="6"/>
    <x v="5"/>
  </r>
  <r>
    <n v="351"/>
    <n v="57"/>
    <n v="23.18"/>
    <n v="0"/>
    <n v="0"/>
    <n v="11830.6072"/>
    <s v="northwest"/>
    <x v="0"/>
    <s v="female"/>
    <n v="2"/>
    <x v="3"/>
  </r>
  <r>
    <n v="372"/>
    <n v="57"/>
    <n v="22.23"/>
    <n v="0"/>
    <n v="0"/>
    <n v="12029.286700000001"/>
    <s v="northeast"/>
    <x v="0"/>
    <s v="female"/>
    <n v="2"/>
    <x v="3"/>
  </r>
  <r>
    <n v="458"/>
    <n v="57"/>
    <n v="30.495000000000001"/>
    <n v="0"/>
    <n v="0"/>
    <n v="11840.77505"/>
    <s v="northwest"/>
    <x v="0"/>
    <s v="female"/>
    <n v="4"/>
    <x v="0"/>
  </r>
  <r>
    <n v="510"/>
    <n v="57"/>
    <n v="28.7"/>
    <n v="0"/>
    <n v="0"/>
    <n v="11455.28"/>
    <s v="southwest"/>
    <x v="0"/>
    <s v="female"/>
    <n v="3"/>
    <x v="1"/>
  </r>
  <r>
    <n v="531"/>
    <n v="57"/>
    <n v="42.13"/>
    <n v="1"/>
    <n v="1"/>
    <n v="48675.517699999997"/>
    <s v="southeast"/>
    <x v="1"/>
    <s v="male"/>
    <n v="6"/>
    <x v="5"/>
  </r>
  <r>
    <n v="575"/>
    <n v="57"/>
    <n v="34.295000000000002"/>
    <n v="2"/>
    <n v="0"/>
    <n v="13224.057049999999"/>
    <s v="northeast"/>
    <x v="0"/>
    <s v="female"/>
    <n v="4"/>
    <x v="0"/>
  </r>
  <r>
    <n v="660"/>
    <n v="57"/>
    <n v="28.785"/>
    <n v="4"/>
    <n v="0"/>
    <n v="14394.398150000001"/>
    <s v="northeast"/>
    <x v="0"/>
    <s v="female"/>
    <n v="3"/>
    <x v="1"/>
  </r>
  <r>
    <n v="662"/>
    <n v="57"/>
    <n v="23.98"/>
    <n v="1"/>
    <n v="0"/>
    <n v="22192.437109999999"/>
    <s v="southeast"/>
    <x v="0"/>
    <s v="female"/>
    <n v="2"/>
    <x v="3"/>
  </r>
  <r>
    <n v="766"/>
    <n v="57"/>
    <n v="31.824999999999999"/>
    <n v="0"/>
    <n v="0"/>
    <n v="11842.623750000001"/>
    <s v="northwest"/>
    <x v="0"/>
    <s v="female"/>
    <n v="4"/>
    <x v="0"/>
  </r>
  <r>
    <n v="844"/>
    <n v="57"/>
    <n v="29.81"/>
    <n v="0"/>
    <n v="1"/>
    <n v="27533.912899999999"/>
    <s v="southeast"/>
    <x v="1"/>
    <s v="female"/>
    <n v="3"/>
    <x v="1"/>
  </r>
  <r>
    <n v="860"/>
    <n v="57"/>
    <n v="28.1"/>
    <n v="0"/>
    <n v="0"/>
    <n v="10965.446"/>
    <s v="southwest"/>
    <x v="0"/>
    <s v="male"/>
    <n v="3"/>
    <x v="1"/>
  </r>
  <r>
    <n v="868"/>
    <n v="57"/>
    <n v="43.7"/>
    <n v="1"/>
    <n v="0"/>
    <n v="11576.13"/>
    <s v="southwest"/>
    <x v="0"/>
    <s v="male"/>
    <n v="6"/>
    <x v="5"/>
  </r>
  <r>
    <n v="887"/>
    <n v="57"/>
    <n v="28.975000000000001"/>
    <n v="0"/>
    <n v="1"/>
    <n v="27218.437249999999"/>
    <s v="northeast"/>
    <x v="1"/>
    <s v="male"/>
    <n v="3"/>
    <x v="1"/>
  </r>
  <r>
    <n v="890"/>
    <n v="57"/>
    <n v="33.630000000000003"/>
    <n v="1"/>
    <n v="0"/>
    <n v="11945.1327"/>
    <s v="northwest"/>
    <x v="0"/>
    <s v="male"/>
    <n v="4"/>
    <x v="0"/>
  </r>
  <r>
    <n v="928"/>
    <n v="57"/>
    <n v="20.100000000000001"/>
    <n v="1"/>
    <n v="0"/>
    <n v="12032.325999999999"/>
    <s v="southwest"/>
    <x v="0"/>
    <s v="female"/>
    <n v="2"/>
    <x v="3"/>
  </r>
  <r>
    <n v="951"/>
    <n v="57"/>
    <n v="18.335000000000001"/>
    <n v="0"/>
    <n v="0"/>
    <n v="11534.872649999999"/>
    <s v="northeast"/>
    <x v="0"/>
    <s v="male"/>
    <n v="1"/>
    <x v="4"/>
  </r>
  <r>
    <n v="1062"/>
    <n v="57"/>
    <n v="27.94"/>
    <n v="1"/>
    <n v="0"/>
    <n v="11554.223599999999"/>
    <s v="southeast"/>
    <x v="0"/>
    <s v="male"/>
    <n v="3"/>
    <x v="1"/>
  </r>
  <r>
    <n v="1088"/>
    <n v="57"/>
    <n v="31.54"/>
    <n v="0"/>
    <n v="0"/>
    <n v="11353.2276"/>
    <s v="northwest"/>
    <x v="0"/>
    <s v="male"/>
    <n v="4"/>
    <x v="0"/>
  </r>
  <r>
    <n v="1133"/>
    <n v="57"/>
    <n v="40.28"/>
    <n v="0"/>
    <n v="0"/>
    <n v="20709.020339999999"/>
    <s v="northeast"/>
    <x v="0"/>
    <s v="male"/>
    <n v="6"/>
    <x v="5"/>
  </r>
  <r>
    <n v="1167"/>
    <n v="57"/>
    <n v="40.369999999999997"/>
    <n v="0"/>
    <n v="0"/>
    <n v="10982.5013"/>
    <s v="southeast"/>
    <x v="0"/>
    <s v="male"/>
    <n v="6"/>
    <x v="5"/>
  </r>
  <r>
    <n v="1276"/>
    <n v="57"/>
    <n v="23.7"/>
    <n v="0"/>
    <n v="0"/>
    <n v="10959.33"/>
    <s v="southwest"/>
    <x v="0"/>
    <s v="male"/>
    <n v="2"/>
    <x v="3"/>
  </r>
  <r>
    <n v="1331"/>
    <n v="57"/>
    <n v="25.74"/>
    <n v="2"/>
    <n v="0"/>
    <n v="12629.1656"/>
    <s v="southeast"/>
    <x v="0"/>
    <s v="female"/>
    <n v="3"/>
    <x v="1"/>
  </r>
  <r>
    <n v="56"/>
    <n v="58"/>
    <n v="36.954999999999998"/>
    <n v="2"/>
    <n v="1"/>
    <n v="47496.494449999998"/>
    <s v="northwest"/>
    <x v="1"/>
    <s v="male"/>
    <n v="5"/>
    <x v="2"/>
  </r>
  <r>
    <n v="57"/>
    <n v="58"/>
    <n v="31.824999999999999"/>
    <n v="2"/>
    <n v="0"/>
    <n v="13607.36875"/>
    <s v="northeast"/>
    <x v="0"/>
    <s v="female"/>
    <n v="4"/>
    <x v="0"/>
  </r>
  <r>
    <n v="74"/>
    <n v="58"/>
    <n v="32.01"/>
    <n v="1"/>
    <n v="0"/>
    <n v="11946.625899999999"/>
    <s v="southeast"/>
    <x v="0"/>
    <s v="male"/>
    <n v="4"/>
    <x v="0"/>
  </r>
  <r>
    <n v="117"/>
    <n v="58"/>
    <n v="49.06"/>
    <n v="0"/>
    <n v="0"/>
    <n v="11381.3254"/>
    <s v="southeast"/>
    <x v="0"/>
    <s v="male"/>
    <n v="6"/>
    <x v="5"/>
  </r>
  <r>
    <n v="181"/>
    <n v="58"/>
    <n v="28.594999999999999"/>
    <n v="0"/>
    <n v="0"/>
    <n v="11735.87905"/>
    <s v="northwest"/>
    <x v="0"/>
    <s v="male"/>
    <n v="3"/>
    <x v="1"/>
  </r>
  <r>
    <n v="228"/>
    <n v="58"/>
    <n v="41.91"/>
    <n v="0"/>
    <n v="0"/>
    <n v="24227.337240000001"/>
    <s v="southeast"/>
    <x v="0"/>
    <s v="female"/>
    <n v="6"/>
    <x v="5"/>
  </r>
  <r>
    <n v="261"/>
    <n v="58"/>
    <n v="25.2"/>
    <n v="0"/>
    <n v="0"/>
    <n v="11837.16"/>
    <s v="southwest"/>
    <x v="0"/>
    <s v="female"/>
    <n v="3"/>
    <x v="1"/>
  </r>
  <r>
    <n v="309"/>
    <n v="58"/>
    <n v="34.865000000000002"/>
    <n v="0"/>
    <n v="0"/>
    <n v="11944.594349999999"/>
    <s v="northeast"/>
    <x v="0"/>
    <s v="male"/>
    <n v="4"/>
    <x v="0"/>
  </r>
  <r>
    <n v="387"/>
    <n v="58"/>
    <n v="39.049999999999997"/>
    <n v="0"/>
    <n v="0"/>
    <n v="11856.4115"/>
    <s v="southeast"/>
    <x v="0"/>
    <s v="female"/>
    <n v="5"/>
    <x v="2"/>
  </r>
  <r>
    <n v="516"/>
    <n v="58"/>
    <n v="35.700000000000003"/>
    <n v="0"/>
    <n v="0"/>
    <n v="11362.754999999999"/>
    <s v="southwest"/>
    <x v="0"/>
    <s v="male"/>
    <n v="5"/>
    <x v="2"/>
  </r>
  <r>
    <n v="576"/>
    <n v="58"/>
    <n v="27.17"/>
    <n v="0"/>
    <n v="0"/>
    <n v="12222.898300000001"/>
    <s v="northwest"/>
    <x v="0"/>
    <s v="female"/>
    <n v="3"/>
    <x v="1"/>
  </r>
  <r>
    <n v="591"/>
    <n v="58"/>
    <n v="29"/>
    <n v="0"/>
    <n v="0"/>
    <n v="11842.441999999999"/>
    <s v="southwest"/>
    <x v="0"/>
    <s v="female"/>
    <n v="3"/>
    <x v="1"/>
  </r>
  <r>
    <n v="629"/>
    <n v="58"/>
    <n v="38"/>
    <n v="0"/>
    <n v="0"/>
    <n v="11365.951999999999"/>
    <s v="southwest"/>
    <x v="0"/>
    <s v="male"/>
    <n v="5"/>
    <x v="2"/>
  </r>
  <r>
    <n v="650"/>
    <n v="58"/>
    <n v="32.965000000000003"/>
    <n v="0"/>
    <n v="0"/>
    <n v="12430.95335"/>
    <s v="northeast"/>
    <x v="0"/>
    <s v="female"/>
    <n v="4"/>
    <x v="0"/>
  </r>
  <r>
    <n v="720"/>
    <n v="58"/>
    <n v="33.44"/>
    <n v="0"/>
    <n v="0"/>
    <n v="12231.613600000001"/>
    <s v="northwest"/>
    <x v="0"/>
    <s v="female"/>
    <n v="4"/>
    <x v="0"/>
  </r>
  <r>
    <n v="754"/>
    <n v="58"/>
    <n v="22.77"/>
    <n v="0"/>
    <n v="0"/>
    <n v="11833.782300000001"/>
    <s v="southeast"/>
    <x v="0"/>
    <s v="female"/>
    <n v="2"/>
    <x v="3"/>
  </r>
  <r>
    <n v="799"/>
    <n v="58"/>
    <n v="33.1"/>
    <n v="0"/>
    <n v="0"/>
    <n v="11848.141"/>
    <s v="southwest"/>
    <x v="0"/>
    <s v="female"/>
    <n v="4"/>
    <x v="0"/>
  </r>
  <r>
    <n v="834"/>
    <n v="58"/>
    <n v="34.39"/>
    <n v="0"/>
    <n v="0"/>
    <n v="11743.9341"/>
    <s v="northwest"/>
    <x v="0"/>
    <s v="male"/>
    <n v="4"/>
    <x v="0"/>
  </r>
  <r>
    <n v="1104"/>
    <n v="58"/>
    <n v="36.08"/>
    <n v="0"/>
    <n v="0"/>
    <n v="11363.2832"/>
    <s v="southeast"/>
    <x v="0"/>
    <s v="male"/>
    <n v="5"/>
    <x v="2"/>
  </r>
  <r>
    <n v="1152"/>
    <n v="58"/>
    <n v="36.479999999999997"/>
    <n v="0"/>
    <n v="0"/>
    <n v="12235.8392"/>
    <s v="northwest"/>
    <x v="0"/>
    <s v="female"/>
    <n v="5"/>
    <x v="2"/>
  </r>
  <r>
    <n v="1193"/>
    <n v="58"/>
    <n v="32.395000000000003"/>
    <n v="1"/>
    <n v="0"/>
    <n v="13019.161050000001"/>
    <s v="northeast"/>
    <x v="0"/>
    <s v="female"/>
    <n v="4"/>
    <x v="0"/>
  </r>
  <r>
    <n v="1230"/>
    <n v="58"/>
    <n v="30.305"/>
    <n v="0"/>
    <n v="0"/>
    <n v="11938.255950000001"/>
    <s v="northeast"/>
    <x v="0"/>
    <s v="male"/>
    <n v="4"/>
    <x v="0"/>
  </r>
  <r>
    <n v="1234"/>
    <n v="58"/>
    <n v="23.3"/>
    <n v="0"/>
    <n v="0"/>
    <n v="11345.519"/>
    <s v="southwest"/>
    <x v="0"/>
    <s v="male"/>
    <n v="2"/>
    <x v="3"/>
  </r>
  <r>
    <n v="1238"/>
    <n v="58"/>
    <n v="28.215"/>
    <n v="0"/>
    <n v="0"/>
    <n v="12224.350850000001"/>
    <s v="northwest"/>
    <x v="0"/>
    <s v="female"/>
    <n v="3"/>
    <x v="1"/>
  </r>
  <r>
    <n v="1295"/>
    <n v="58"/>
    <n v="25.175000000000001"/>
    <n v="0"/>
    <n v="0"/>
    <n v="11931.125249999999"/>
    <s v="northeast"/>
    <x v="0"/>
    <s v="male"/>
    <n v="3"/>
    <x v="1"/>
  </r>
  <r>
    <n v="26"/>
    <n v="59"/>
    <n v="27.72"/>
    <n v="3"/>
    <n v="0"/>
    <n v="14001.1338"/>
    <s v="southeast"/>
    <x v="0"/>
    <s v="female"/>
    <n v="3"/>
    <x v="1"/>
  </r>
  <r>
    <n v="93"/>
    <n v="59"/>
    <n v="29.83"/>
    <n v="3"/>
    <n v="1"/>
    <n v="30184.936699999998"/>
    <s v="northeast"/>
    <x v="1"/>
    <s v="male"/>
    <n v="3"/>
    <x v="1"/>
  </r>
  <r>
    <n v="131"/>
    <n v="59"/>
    <n v="26.504999999999999"/>
    <n v="0"/>
    <n v="0"/>
    <n v="12815.444949999999"/>
    <s v="northeast"/>
    <x v="0"/>
    <s v="female"/>
    <n v="3"/>
    <x v="1"/>
  </r>
  <r>
    <n v="207"/>
    <n v="59"/>
    <n v="26.4"/>
    <n v="0"/>
    <n v="0"/>
    <n v="11743.299000000001"/>
    <s v="southeast"/>
    <x v="0"/>
    <s v="male"/>
    <n v="3"/>
    <x v="1"/>
  </r>
  <r>
    <n v="232"/>
    <n v="59"/>
    <n v="27.83"/>
    <n v="3"/>
    <n v="0"/>
    <n v="14001.286700000001"/>
    <s v="southeast"/>
    <x v="0"/>
    <s v="female"/>
    <n v="3"/>
    <x v="1"/>
  </r>
  <r>
    <n v="234"/>
    <n v="59"/>
    <n v="27.5"/>
    <n v="1"/>
    <n v="0"/>
    <n v="12333.828"/>
    <s v="southwest"/>
    <x v="0"/>
    <s v="male"/>
    <n v="3"/>
    <x v="1"/>
  </r>
  <r>
    <n v="268"/>
    <n v="59"/>
    <n v="32.395000000000003"/>
    <n v="3"/>
    <n v="0"/>
    <n v="14590.63205"/>
    <s v="northeast"/>
    <x v="0"/>
    <s v="female"/>
    <n v="4"/>
    <x v="0"/>
  </r>
  <r>
    <n v="279"/>
    <n v="59"/>
    <n v="31.79"/>
    <n v="2"/>
    <n v="0"/>
    <n v="12928.7911"/>
    <s v="southeast"/>
    <x v="0"/>
    <s v="male"/>
    <n v="4"/>
    <x v="0"/>
  </r>
  <r>
    <n v="289"/>
    <n v="59"/>
    <n v="36.765000000000001"/>
    <n v="1"/>
    <n v="1"/>
    <n v="47896.79135"/>
    <s v="northeast"/>
    <x v="1"/>
    <s v="female"/>
    <n v="5"/>
    <x v="2"/>
  </r>
  <r>
    <n v="444"/>
    <n v="59"/>
    <n v="36.520000000000003"/>
    <n v="1"/>
    <n v="0"/>
    <n v="28287.897659999999"/>
    <s v="southeast"/>
    <x v="0"/>
    <s v="female"/>
    <n v="5"/>
    <x v="2"/>
  </r>
  <r>
    <n v="456"/>
    <n v="59"/>
    <n v="37.4"/>
    <n v="0"/>
    <n v="0"/>
    <n v="21797.000400000001"/>
    <s v="southwest"/>
    <x v="0"/>
    <s v="male"/>
    <n v="5"/>
    <x v="2"/>
  </r>
  <r>
    <n v="533"/>
    <n v="59"/>
    <n v="29.7"/>
    <n v="2"/>
    <n v="0"/>
    <n v="12925.886"/>
    <s v="southeast"/>
    <x v="0"/>
    <s v="male"/>
    <n v="3"/>
    <x v="1"/>
  </r>
  <r>
    <n v="581"/>
    <n v="59"/>
    <n v="25.46"/>
    <n v="1"/>
    <n v="0"/>
    <n v="12913.992399999999"/>
    <s v="northeast"/>
    <x v="0"/>
    <s v="male"/>
    <n v="3"/>
    <x v="1"/>
  </r>
  <r>
    <n v="608"/>
    <n v="59"/>
    <n v="23.655000000000001"/>
    <n v="0"/>
    <n v="1"/>
    <n v="25678.778450000002"/>
    <s v="northwest"/>
    <x v="1"/>
    <s v="female"/>
    <n v="2"/>
    <x v="3"/>
  </r>
  <r>
    <n v="625"/>
    <n v="59"/>
    <n v="28.785"/>
    <n v="0"/>
    <n v="0"/>
    <n v="12129.614149999999"/>
    <s v="northwest"/>
    <x v="0"/>
    <s v="male"/>
    <n v="3"/>
    <x v="1"/>
  </r>
  <r>
    <n v="655"/>
    <n v="59"/>
    <n v="35.200000000000003"/>
    <n v="0"/>
    <n v="0"/>
    <n v="12244.531000000001"/>
    <s v="southeast"/>
    <x v="0"/>
    <s v="female"/>
    <n v="5"/>
    <x v="2"/>
  </r>
  <r>
    <n v="735"/>
    <n v="59"/>
    <n v="32.1"/>
    <n v="3"/>
    <n v="0"/>
    <n v="14007.222"/>
    <s v="southwest"/>
    <x v="0"/>
    <s v="female"/>
    <n v="4"/>
    <x v="0"/>
  </r>
  <r>
    <n v="840"/>
    <n v="59"/>
    <n v="31.35"/>
    <n v="0"/>
    <n v="0"/>
    <n v="12622.1795"/>
    <s v="northwest"/>
    <x v="0"/>
    <s v="female"/>
    <n v="4"/>
    <x v="0"/>
  </r>
  <r>
    <n v="842"/>
    <n v="59"/>
    <n v="24.7"/>
    <n v="0"/>
    <n v="0"/>
    <n v="12323.936"/>
    <s v="northeast"/>
    <x v="0"/>
    <s v="male"/>
    <n v="2"/>
    <x v="3"/>
  </r>
  <r>
    <n v="913"/>
    <n v="59"/>
    <n v="26.695"/>
    <n v="3"/>
    <n v="0"/>
    <n v="14382.709049999999"/>
    <s v="northwest"/>
    <x v="0"/>
    <s v="female"/>
    <n v="3"/>
    <x v="1"/>
  </r>
  <r>
    <n v="936"/>
    <n v="59"/>
    <n v="27.5"/>
    <n v="0"/>
    <n v="0"/>
    <n v="12233.828"/>
    <s v="southwest"/>
    <x v="0"/>
    <s v="female"/>
    <n v="3"/>
    <x v="1"/>
  </r>
  <r>
    <n v="1016"/>
    <n v="59"/>
    <n v="25.46"/>
    <n v="0"/>
    <n v="0"/>
    <n v="12124.992399999999"/>
    <s v="northwest"/>
    <x v="0"/>
    <s v="male"/>
    <n v="3"/>
    <x v="1"/>
  </r>
  <r>
    <n v="1063"/>
    <n v="59"/>
    <n v="41.14"/>
    <n v="1"/>
    <n v="1"/>
    <n v="48970.247600000002"/>
    <s v="southeast"/>
    <x v="1"/>
    <s v="male"/>
    <n v="6"/>
    <x v="5"/>
  </r>
  <r>
    <n v="1207"/>
    <n v="59"/>
    <n v="34.799999999999997"/>
    <n v="2"/>
    <n v="0"/>
    <n v="36910.608030000003"/>
    <s v="southwest"/>
    <x v="0"/>
    <s v="female"/>
    <n v="4"/>
    <x v="0"/>
  </r>
  <r>
    <n v="1210"/>
    <n v="59"/>
    <n v="37.1"/>
    <n v="1"/>
    <n v="0"/>
    <n v="12347.172"/>
    <s v="southwest"/>
    <x v="0"/>
    <s v="male"/>
    <n v="5"/>
    <x v="2"/>
  </r>
  <r>
    <n v="10"/>
    <n v="60"/>
    <n v="25.84"/>
    <n v="0"/>
    <n v="0"/>
    <n v="28923.136920000001"/>
    <s v="northwest"/>
    <x v="0"/>
    <s v="female"/>
    <n v="3"/>
    <x v="1"/>
  </r>
  <r>
    <n v="21"/>
    <n v="60"/>
    <n v="36.005000000000003"/>
    <n v="0"/>
    <n v="0"/>
    <n v="13228.846949999999"/>
    <s v="northeast"/>
    <x v="0"/>
    <s v="female"/>
    <n v="5"/>
    <x v="2"/>
  </r>
  <r>
    <n v="40"/>
    <n v="60"/>
    <n v="39.9"/>
    <n v="0"/>
    <n v="1"/>
    <n v="48173.360999999997"/>
    <s v="southwest"/>
    <x v="1"/>
    <s v="male"/>
    <n v="5"/>
    <x v="2"/>
  </r>
  <r>
    <n v="49"/>
    <n v="60"/>
    <n v="24.53"/>
    <n v="0"/>
    <n v="0"/>
    <n v="12629.896699999999"/>
    <s v="southeast"/>
    <x v="0"/>
    <s v="female"/>
    <n v="2"/>
    <x v="3"/>
  </r>
  <r>
    <n v="116"/>
    <n v="60"/>
    <n v="28.594999999999999"/>
    <n v="0"/>
    <n v="0"/>
    <n v="30259.995559999999"/>
    <s v="northeast"/>
    <x v="0"/>
    <s v="male"/>
    <n v="3"/>
    <x v="1"/>
  </r>
  <r>
    <n v="203"/>
    <n v="60"/>
    <n v="24.035"/>
    <n v="0"/>
    <n v="0"/>
    <n v="13012.20865"/>
    <s v="northwest"/>
    <x v="0"/>
    <s v="female"/>
    <n v="2"/>
    <x v="3"/>
  </r>
  <r>
    <n v="247"/>
    <n v="60"/>
    <n v="38.06"/>
    <n v="0"/>
    <n v="0"/>
    <n v="12648.7034"/>
    <s v="southeast"/>
    <x v="0"/>
    <s v="female"/>
    <n v="5"/>
    <x v="2"/>
  </r>
  <r>
    <n v="337"/>
    <n v="60"/>
    <n v="25.74"/>
    <n v="0"/>
    <n v="0"/>
    <n v="12142.578600000001"/>
    <s v="southeast"/>
    <x v="0"/>
    <s v="male"/>
    <n v="3"/>
    <x v="1"/>
  </r>
  <r>
    <n v="343"/>
    <n v="60"/>
    <n v="27.55"/>
    <n v="0"/>
    <n v="0"/>
    <n v="13217.094499999999"/>
    <s v="northeast"/>
    <x v="0"/>
    <s v="female"/>
    <n v="3"/>
    <x v="1"/>
  </r>
  <r>
    <n v="434"/>
    <n v="60"/>
    <n v="30.5"/>
    <n v="0"/>
    <n v="0"/>
    <n v="12638.195"/>
    <s v="southwest"/>
    <x v="0"/>
    <s v="female"/>
    <n v="4"/>
    <x v="0"/>
  </r>
  <r>
    <n v="436"/>
    <n v="60"/>
    <n v="33.11"/>
    <n v="3"/>
    <n v="0"/>
    <n v="13919.822899999999"/>
    <s v="southeast"/>
    <x v="0"/>
    <s v="male"/>
    <n v="4"/>
    <x v="0"/>
  </r>
  <r>
    <n v="447"/>
    <n v="60"/>
    <n v="29.64"/>
    <n v="0"/>
    <n v="0"/>
    <n v="12730.999599999999"/>
    <s v="northeast"/>
    <x v="0"/>
    <s v="male"/>
    <n v="3"/>
    <x v="1"/>
  </r>
  <r>
    <n v="467"/>
    <n v="60"/>
    <n v="28.7"/>
    <n v="1"/>
    <n v="0"/>
    <n v="13224.692999999999"/>
    <s v="southwest"/>
    <x v="0"/>
    <s v="female"/>
    <n v="3"/>
    <x v="1"/>
  </r>
  <r>
    <n v="678"/>
    <n v="60"/>
    <n v="31.35"/>
    <n v="3"/>
    <n v="1"/>
    <n v="46130.5265"/>
    <s v="northwest"/>
    <x v="1"/>
    <s v="male"/>
    <n v="4"/>
    <x v="0"/>
  </r>
  <r>
    <n v="716"/>
    <n v="60"/>
    <n v="28.9"/>
    <n v="0"/>
    <n v="0"/>
    <n v="12146.971"/>
    <s v="southwest"/>
    <x v="0"/>
    <s v="male"/>
    <n v="3"/>
    <x v="1"/>
  </r>
  <r>
    <n v="718"/>
    <n v="60"/>
    <n v="24.32"/>
    <n v="1"/>
    <n v="0"/>
    <n v="13112.604799999999"/>
    <s v="northwest"/>
    <x v="0"/>
    <s v="male"/>
    <n v="2"/>
    <x v="3"/>
  </r>
  <r>
    <n v="787"/>
    <n v="60"/>
    <n v="36.954999999999998"/>
    <n v="0"/>
    <n v="0"/>
    <n v="12741.167450000001"/>
    <s v="northeast"/>
    <x v="0"/>
    <s v="male"/>
    <n v="5"/>
    <x v="2"/>
  </r>
  <r>
    <n v="825"/>
    <n v="60"/>
    <n v="24.32"/>
    <n v="0"/>
    <n v="0"/>
    <n v="12523.604799999999"/>
    <s v="northwest"/>
    <x v="0"/>
    <s v="male"/>
    <n v="2"/>
    <x v="3"/>
  </r>
  <r>
    <n v="846"/>
    <n v="60"/>
    <n v="32.450000000000003"/>
    <n v="0"/>
    <n v="1"/>
    <n v="45008.955499999996"/>
    <s v="southeast"/>
    <x v="1"/>
    <s v="female"/>
    <n v="4"/>
    <x v="0"/>
  </r>
  <r>
    <n v="902"/>
    <n v="60"/>
    <n v="40.92"/>
    <n v="0"/>
    <n v="1"/>
    <n v="48673.558799999999"/>
    <s v="southeast"/>
    <x v="1"/>
    <s v="male"/>
    <n v="6"/>
    <x v="5"/>
  </r>
  <r>
    <n v="905"/>
    <n v="60"/>
    <n v="35.1"/>
    <n v="0"/>
    <n v="0"/>
    <n v="12644.589"/>
    <s v="southwest"/>
    <x v="0"/>
    <s v="female"/>
    <n v="5"/>
    <x v="2"/>
  </r>
  <r>
    <n v="1075"/>
    <n v="60"/>
    <n v="18.335000000000001"/>
    <n v="0"/>
    <n v="0"/>
    <n v="13204.28565"/>
    <s v="northeast"/>
    <x v="0"/>
    <s v="female"/>
    <n v="1"/>
    <x v="4"/>
  </r>
  <r>
    <n v="1147"/>
    <n v="60"/>
    <n v="32.799999999999997"/>
    <n v="0"/>
    <n v="1"/>
    <n v="52590.829389999999"/>
    <s v="southwest"/>
    <x v="1"/>
    <s v="male"/>
    <n v="4"/>
    <x v="0"/>
  </r>
  <r>
    <n v="67"/>
    <n v="61"/>
    <n v="39.1"/>
    <n v="2"/>
    <n v="0"/>
    <n v="14235.072"/>
    <s v="southwest"/>
    <x v="0"/>
    <s v="female"/>
    <n v="5"/>
    <x v="2"/>
  </r>
  <r>
    <n v="104"/>
    <n v="61"/>
    <n v="29.92"/>
    <n v="3"/>
    <n v="1"/>
    <n v="30942.191800000001"/>
    <s v="southeast"/>
    <x v="1"/>
    <s v="female"/>
    <n v="4"/>
    <x v="0"/>
  </r>
  <r>
    <n v="132"/>
    <n v="61"/>
    <n v="22.04"/>
    <n v="0"/>
    <n v="0"/>
    <n v="13616.3586"/>
    <s v="northeast"/>
    <x v="0"/>
    <s v="female"/>
    <n v="2"/>
    <x v="3"/>
  </r>
  <r>
    <n v="191"/>
    <n v="61"/>
    <n v="31.57"/>
    <n v="0"/>
    <n v="0"/>
    <n v="12557.605299999999"/>
    <s v="southeast"/>
    <x v="0"/>
    <s v="male"/>
    <n v="4"/>
    <x v="0"/>
  </r>
  <r>
    <n v="331"/>
    <n v="61"/>
    <n v="36.384999999999998"/>
    <n v="1"/>
    <n v="1"/>
    <n v="48517.563150000002"/>
    <s v="northeast"/>
    <x v="1"/>
    <s v="female"/>
    <n v="5"/>
    <x v="2"/>
  </r>
  <r>
    <n v="333"/>
    <n v="61"/>
    <n v="31.16"/>
    <n v="0"/>
    <n v="0"/>
    <n v="13429.035400000001"/>
    <s v="northwest"/>
    <x v="0"/>
    <s v="female"/>
    <n v="4"/>
    <x v="0"/>
  </r>
  <r>
    <n v="371"/>
    <n v="61"/>
    <n v="21.09"/>
    <n v="0"/>
    <n v="0"/>
    <n v="13415.0381"/>
    <s v="northwest"/>
    <x v="0"/>
    <s v="female"/>
    <n v="2"/>
    <x v="3"/>
  </r>
  <r>
    <n v="422"/>
    <n v="61"/>
    <n v="35.86"/>
    <n v="0"/>
    <n v="1"/>
    <n v="46599.108399999997"/>
    <s v="southeast"/>
    <x v="1"/>
    <s v="male"/>
    <n v="5"/>
    <x v="2"/>
  </r>
  <r>
    <n v="476"/>
    <n v="61"/>
    <n v="28.31"/>
    <n v="1"/>
    <n v="1"/>
    <n v="28868.6639"/>
    <s v="northwest"/>
    <x v="1"/>
    <s v="male"/>
    <n v="3"/>
    <x v="1"/>
  </r>
  <r>
    <n v="492"/>
    <n v="61"/>
    <n v="25.08"/>
    <n v="0"/>
    <n v="0"/>
    <n v="24513.091260000001"/>
    <s v="southeast"/>
    <x v="0"/>
    <s v="female"/>
    <n v="3"/>
    <x v="1"/>
  </r>
  <r>
    <n v="494"/>
    <n v="61"/>
    <n v="43.4"/>
    <n v="0"/>
    <n v="0"/>
    <n v="12574.049000000001"/>
    <s v="southwest"/>
    <x v="0"/>
    <s v="male"/>
    <n v="6"/>
    <x v="5"/>
  </r>
  <r>
    <n v="589"/>
    <n v="61"/>
    <n v="35.909999999999997"/>
    <n v="0"/>
    <n v="0"/>
    <n v="13635.6379"/>
    <s v="northeast"/>
    <x v="0"/>
    <s v="female"/>
    <n v="5"/>
    <x v="2"/>
  </r>
  <r>
    <n v="643"/>
    <n v="61"/>
    <n v="33.914999999999999"/>
    <n v="0"/>
    <n v="0"/>
    <n v="13143.86485"/>
    <s v="northeast"/>
    <x v="0"/>
    <s v="male"/>
    <n v="4"/>
    <x v="0"/>
  </r>
  <r>
    <n v="771"/>
    <n v="61"/>
    <n v="36.1"/>
    <n v="3"/>
    <n v="0"/>
    <n v="27941.28758"/>
    <s v="southwest"/>
    <x v="0"/>
    <s v="male"/>
    <n v="5"/>
    <x v="2"/>
  </r>
  <r>
    <n v="852"/>
    <n v="61"/>
    <n v="32.299999999999997"/>
    <n v="2"/>
    <n v="0"/>
    <n v="14119.62"/>
    <s v="northwest"/>
    <x v="0"/>
    <s v="male"/>
    <n v="4"/>
    <x v="0"/>
  </r>
  <r>
    <n v="869"/>
    <n v="61"/>
    <n v="23.655000000000001"/>
    <n v="0"/>
    <n v="0"/>
    <n v="13129.603450000001"/>
    <s v="northeast"/>
    <x v="0"/>
    <s v="male"/>
    <n v="2"/>
    <x v="3"/>
  </r>
  <r>
    <n v="896"/>
    <n v="61"/>
    <n v="44"/>
    <n v="0"/>
    <n v="0"/>
    <n v="13063.883"/>
    <s v="southwest"/>
    <x v="0"/>
    <s v="female"/>
    <n v="6"/>
    <x v="5"/>
  </r>
  <r>
    <n v="919"/>
    <n v="61"/>
    <n v="28.2"/>
    <n v="0"/>
    <n v="0"/>
    <n v="13041.921"/>
    <s v="southwest"/>
    <x v="0"/>
    <s v="female"/>
    <n v="3"/>
    <x v="1"/>
  </r>
  <r>
    <n v="1013"/>
    <n v="61"/>
    <n v="33.33"/>
    <n v="4"/>
    <n v="0"/>
    <n v="36580.282160000002"/>
    <s v="southeast"/>
    <x v="0"/>
    <s v="female"/>
    <n v="4"/>
    <x v="0"/>
  </r>
  <r>
    <n v="1035"/>
    <n v="61"/>
    <n v="38.380000000000003"/>
    <n v="0"/>
    <n v="0"/>
    <n v="12950.0712"/>
    <s v="northwest"/>
    <x v="0"/>
    <s v="male"/>
    <n v="5"/>
    <x v="2"/>
  </r>
  <r>
    <n v="1285"/>
    <n v="61"/>
    <n v="36.299999999999997"/>
    <n v="1"/>
    <n v="1"/>
    <n v="47403.88"/>
    <s v="southwest"/>
    <x v="1"/>
    <s v="male"/>
    <n v="5"/>
    <x v="2"/>
  </r>
  <r>
    <n v="1326"/>
    <n v="61"/>
    <n v="33.534999999999997"/>
    <n v="0"/>
    <n v="0"/>
    <n v="13143.336649999999"/>
    <s v="northeast"/>
    <x v="0"/>
    <s v="male"/>
    <n v="4"/>
    <x v="0"/>
  </r>
  <r>
    <n v="1338"/>
    <n v="61"/>
    <n v="29.07"/>
    <n v="0"/>
    <n v="1"/>
    <n v="29141.3603"/>
    <s v="northwest"/>
    <x v="1"/>
    <s v="female"/>
    <n v="3"/>
    <x v="1"/>
  </r>
  <r>
    <n v="12"/>
    <n v="62"/>
    <n v="26.29"/>
    <n v="0"/>
    <n v="1"/>
    <n v="27808.7251"/>
    <s v="southeast"/>
    <x v="1"/>
    <s v="female"/>
    <n v="3"/>
    <x v="1"/>
  </r>
  <r>
    <n v="37"/>
    <n v="62"/>
    <n v="32.965000000000003"/>
    <n v="3"/>
    <n v="0"/>
    <n v="15612.19335"/>
    <s v="northwest"/>
    <x v="0"/>
    <s v="female"/>
    <n v="4"/>
    <x v="0"/>
  </r>
  <r>
    <n v="338"/>
    <n v="62"/>
    <n v="27.55"/>
    <n v="1"/>
    <n v="0"/>
    <n v="13937.666499999999"/>
    <s v="northwest"/>
    <x v="0"/>
    <s v="male"/>
    <n v="3"/>
    <x v="1"/>
  </r>
  <r>
    <n v="342"/>
    <n v="62"/>
    <n v="30.02"/>
    <n v="0"/>
    <n v="0"/>
    <n v="13352.0998"/>
    <s v="northwest"/>
    <x v="0"/>
    <s v="male"/>
    <n v="4"/>
    <x v="0"/>
  </r>
  <r>
    <n v="380"/>
    <n v="62"/>
    <n v="31.46"/>
    <n v="1"/>
    <n v="0"/>
    <n v="27000.98473"/>
    <s v="southeast"/>
    <x v="0"/>
    <s v="male"/>
    <n v="4"/>
    <x v="0"/>
  </r>
  <r>
    <n v="463"/>
    <n v="62"/>
    <n v="38.094999999999999"/>
    <n v="2"/>
    <n v="0"/>
    <n v="15230.324049999999"/>
    <s v="northeast"/>
    <x v="0"/>
    <s v="female"/>
    <n v="5"/>
    <x v="2"/>
  </r>
  <r>
    <n v="500"/>
    <n v="62"/>
    <n v="39.200000000000003"/>
    <n v="0"/>
    <n v="0"/>
    <n v="13470.86"/>
    <s v="southwest"/>
    <x v="0"/>
    <s v="female"/>
    <n v="5"/>
    <x v="2"/>
  </r>
  <r>
    <n v="532"/>
    <n v="62"/>
    <n v="31.73"/>
    <n v="0"/>
    <n v="0"/>
    <n v="14043.476699999999"/>
    <s v="northeast"/>
    <x v="0"/>
    <s v="female"/>
    <n v="4"/>
    <x v="0"/>
  </r>
  <r>
    <n v="553"/>
    <n v="62"/>
    <n v="21.4"/>
    <n v="0"/>
    <n v="0"/>
    <n v="12957.118"/>
    <s v="southwest"/>
    <x v="0"/>
    <s v="male"/>
    <n v="2"/>
    <x v="3"/>
  </r>
  <r>
    <n v="574"/>
    <n v="62"/>
    <n v="36.86"/>
    <n v="1"/>
    <n v="0"/>
    <n v="31620.001059999999"/>
    <s v="northeast"/>
    <x v="0"/>
    <s v="female"/>
    <n v="5"/>
    <x v="2"/>
  </r>
  <r>
    <n v="669"/>
    <n v="62"/>
    <n v="32.015000000000001"/>
    <n v="0"/>
    <n v="1"/>
    <n v="45710.207849999999"/>
    <s v="northeast"/>
    <x v="1"/>
    <s v="male"/>
    <n v="4"/>
    <x v="0"/>
  </r>
  <r>
    <n v="723"/>
    <n v="62"/>
    <n v="37.4"/>
    <n v="0"/>
    <n v="0"/>
    <n v="12979.358"/>
    <s v="southwest"/>
    <x v="0"/>
    <s v="male"/>
    <n v="5"/>
    <x v="2"/>
  </r>
  <r>
    <n v="790"/>
    <n v="62"/>
    <n v="29.92"/>
    <n v="0"/>
    <n v="0"/>
    <n v="13457.960800000001"/>
    <s v="southeast"/>
    <x v="0"/>
    <s v="female"/>
    <n v="4"/>
    <x v="0"/>
  </r>
  <r>
    <n v="895"/>
    <n v="62"/>
    <n v="32.11"/>
    <n v="0"/>
    <n v="0"/>
    <n v="13555.0049"/>
    <s v="northeast"/>
    <x v="0"/>
    <s v="male"/>
    <n v="4"/>
    <x v="0"/>
  </r>
  <r>
    <n v="921"/>
    <n v="62"/>
    <n v="25"/>
    <n v="0"/>
    <n v="0"/>
    <n v="13451.121999999999"/>
    <s v="southwest"/>
    <x v="0"/>
    <s v="female"/>
    <n v="3"/>
    <x v="1"/>
  </r>
  <r>
    <n v="922"/>
    <n v="62"/>
    <n v="33.200000000000003"/>
    <n v="0"/>
    <n v="0"/>
    <n v="13462.52"/>
    <s v="southwest"/>
    <x v="0"/>
    <s v="female"/>
    <n v="4"/>
    <x v="0"/>
  </r>
  <r>
    <n v="929"/>
    <n v="62"/>
    <n v="39.159999999999997"/>
    <n v="0"/>
    <n v="0"/>
    <n v="13470.804400000001"/>
    <s v="southeast"/>
    <x v="0"/>
    <s v="female"/>
    <n v="5"/>
    <x v="2"/>
  </r>
  <r>
    <n v="945"/>
    <n v="62"/>
    <n v="39.93"/>
    <n v="0"/>
    <n v="0"/>
    <n v="12982.8747"/>
    <s v="southeast"/>
    <x v="0"/>
    <s v="male"/>
    <n v="6"/>
    <x v="5"/>
  </r>
  <r>
    <n v="1085"/>
    <n v="62"/>
    <n v="30.495000000000001"/>
    <n v="2"/>
    <n v="0"/>
    <n v="15019.760050000001"/>
    <s v="northwest"/>
    <x v="0"/>
    <s v="female"/>
    <n v="4"/>
    <x v="0"/>
  </r>
  <r>
    <n v="1188"/>
    <n v="62"/>
    <n v="32.68"/>
    <n v="0"/>
    <n v="0"/>
    <n v="13844.797200000001"/>
    <s v="northwest"/>
    <x v="0"/>
    <s v="female"/>
    <n v="4"/>
    <x v="0"/>
  </r>
  <r>
    <n v="1302"/>
    <n v="62"/>
    <n v="30.875"/>
    <n v="3"/>
    <n v="1"/>
    <n v="46718.163249999998"/>
    <s v="northwest"/>
    <x v="1"/>
    <s v="male"/>
    <n v="4"/>
    <x v="0"/>
  </r>
  <r>
    <n v="1322"/>
    <n v="62"/>
    <n v="26.695"/>
    <n v="0"/>
    <n v="1"/>
    <n v="28101.333050000001"/>
    <s v="northeast"/>
    <x v="1"/>
    <s v="male"/>
    <n v="3"/>
    <x v="1"/>
  </r>
  <r>
    <n v="1323"/>
    <n v="62"/>
    <n v="38.83"/>
    <n v="0"/>
    <n v="0"/>
    <n v="12981.3457"/>
    <s v="southeast"/>
    <x v="0"/>
    <s v="male"/>
    <n v="5"/>
    <x v="2"/>
  </r>
  <r>
    <n v="27"/>
    <n v="63"/>
    <n v="23.085000000000001"/>
    <n v="0"/>
    <n v="0"/>
    <n v="14451.835150000001"/>
    <s v="northeast"/>
    <x v="0"/>
    <s v="female"/>
    <n v="2"/>
    <x v="3"/>
  </r>
  <r>
    <n v="34"/>
    <n v="63"/>
    <n v="28.31"/>
    <n v="0"/>
    <n v="0"/>
    <n v="13770.097900000001"/>
    <s v="northwest"/>
    <x v="0"/>
    <s v="male"/>
    <n v="3"/>
    <x v="1"/>
  </r>
  <r>
    <n v="110"/>
    <n v="63"/>
    <n v="35.090000000000003"/>
    <n v="0"/>
    <n v="1"/>
    <n v="47055.532099999997"/>
    <s v="southeast"/>
    <x v="1"/>
    <s v="male"/>
    <n v="5"/>
    <x v="2"/>
  </r>
  <r>
    <n v="171"/>
    <n v="63"/>
    <n v="41.47"/>
    <n v="0"/>
    <n v="0"/>
    <n v="13405.390299999999"/>
    <s v="southeast"/>
    <x v="0"/>
    <s v="male"/>
    <n v="6"/>
    <x v="5"/>
  </r>
  <r>
    <n v="176"/>
    <n v="63"/>
    <n v="37.700000000000003"/>
    <n v="0"/>
    <n v="1"/>
    <n v="48824.45"/>
    <s v="southwest"/>
    <x v="1"/>
    <s v="female"/>
    <n v="5"/>
    <x v="2"/>
  </r>
  <r>
    <n v="209"/>
    <n v="63"/>
    <n v="31.8"/>
    <n v="0"/>
    <n v="0"/>
    <n v="13880.949000000001"/>
    <s v="southwest"/>
    <x v="0"/>
    <s v="female"/>
    <n v="4"/>
    <x v="0"/>
  </r>
  <r>
    <n v="245"/>
    <n v="63"/>
    <n v="27.74"/>
    <n v="0"/>
    <n v="1"/>
    <n v="29523.1656"/>
    <s v="northeast"/>
    <x v="1"/>
    <s v="female"/>
    <n v="3"/>
    <x v="1"/>
  </r>
  <r>
    <n v="252"/>
    <n v="63"/>
    <n v="32.200000000000003"/>
    <n v="2"/>
    <n v="1"/>
    <n v="47305.305"/>
    <s v="southwest"/>
    <x v="1"/>
    <s v="female"/>
    <n v="4"/>
    <x v="0"/>
  </r>
  <r>
    <n v="288"/>
    <n v="63"/>
    <n v="26.22"/>
    <n v="0"/>
    <n v="0"/>
    <n v="14256.192800000001"/>
    <s v="northwest"/>
    <x v="0"/>
    <s v="female"/>
    <n v="3"/>
    <x v="1"/>
  </r>
  <r>
    <n v="344"/>
    <n v="63"/>
    <n v="36.765000000000001"/>
    <n v="0"/>
    <n v="0"/>
    <n v="13981.850350000001"/>
    <s v="northeast"/>
    <x v="0"/>
    <s v="male"/>
    <n v="5"/>
    <x v="2"/>
  </r>
  <r>
    <n v="420"/>
    <n v="63"/>
    <n v="26.98"/>
    <n v="0"/>
    <n v="1"/>
    <n v="28950.4692"/>
    <s v="northwest"/>
    <x v="1"/>
    <s v="female"/>
    <n v="3"/>
    <x v="1"/>
  </r>
  <r>
    <n v="481"/>
    <n v="63"/>
    <n v="41.325000000000003"/>
    <n v="3"/>
    <n v="0"/>
    <n v="15555.188749999999"/>
    <s v="northwest"/>
    <x v="0"/>
    <s v="male"/>
    <n v="6"/>
    <x v="5"/>
  </r>
  <r>
    <n v="543"/>
    <n v="63"/>
    <n v="36.299999999999997"/>
    <n v="0"/>
    <n v="0"/>
    <n v="13887.204"/>
    <s v="southeast"/>
    <x v="0"/>
    <s v="female"/>
    <n v="5"/>
    <x v="2"/>
  </r>
  <r>
    <n v="551"/>
    <n v="63"/>
    <n v="30.8"/>
    <n v="0"/>
    <n v="0"/>
    <n v="13390.558999999999"/>
    <s v="southwest"/>
    <x v="0"/>
    <s v="male"/>
    <n v="4"/>
    <x v="0"/>
  </r>
  <r>
    <n v="831"/>
    <n v="63"/>
    <n v="33.1"/>
    <n v="0"/>
    <n v="0"/>
    <n v="13393.755999999999"/>
    <s v="southwest"/>
    <x v="0"/>
    <s v="male"/>
    <n v="4"/>
    <x v="0"/>
  </r>
  <r>
    <n v="909"/>
    <n v="63"/>
    <n v="39.799999999999997"/>
    <n v="3"/>
    <n v="0"/>
    <n v="15170.069"/>
    <s v="southwest"/>
    <x v="0"/>
    <s v="male"/>
    <n v="5"/>
    <x v="2"/>
  </r>
  <r>
    <n v="963"/>
    <n v="63"/>
    <n v="35.200000000000003"/>
    <n v="1"/>
    <n v="0"/>
    <n v="14474.674999999999"/>
    <s v="southeast"/>
    <x v="0"/>
    <s v="female"/>
    <n v="5"/>
    <x v="2"/>
  </r>
  <r>
    <n v="998"/>
    <n v="63"/>
    <n v="36.85"/>
    <n v="0"/>
    <n v="0"/>
    <n v="13887.968500000001"/>
    <s v="southeast"/>
    <x v="0"/>
    <s v="female"/>
    <n v="5"/>
    <x v="2"/>
  </r>
  <r>
    <n v="1069"/>
    <n v="63"/>
    <n v="21.66"/>
    <n v="1"/>
    <n v="0"/>
    <n v="14349.8544"/>
    <s v="northwest"/>
    <x v="0"/>
    <s v="male"/>
    <n v="2"/>
    <x v="3"/>
  </r>
  <r>
    <n v="1072"/>
    <n v="63"/>
    <n v="31.445"/>
    <n v="0"/>
    <n v="0"/>
    <n v="13974.455550000001"/>
    <s v="northeast"/>
    <x v="0"/>
    <s v="male"/>
    <n v="4"/>
    <x v="0"/>
  </r>
  <r>
    <n v="1080"/>
    <n v="63"/>
    <n v="33.659999999999997"/>
    <n v="3"/>
    <n v="0"/>
    <n v="15161.5344"/>
    <s v="southeast"/>
    <x v="0"/>
    <s v="male"/>
    <n v="4"/>
    <x v="0"/>
  </r>
  <r>
    <n v="1126"/>
    <n v="63"/>
    <n v="25.08"/>
    <n v="0"/>
    <n v="0"/>
    <n v="14254.608200000001"/>
    <s v="northwest"/>
    <x v="0"/>
    <s v="female"/>
    <n v="3"/>
    <x v="1"/>
  </r>
  <r>
    <n v="1237"/>
    <n v="63"/>
    <n v="21.66"/>
    <n v="0"/>
    <n v="0"/>
    <n v="14449.8544"/>
    <s v="northeast"/>
    <x v="0"/>
    <s v="female"/>
    <n v="2"/>
    <x v="3"/>
  </r>
  <r>
    <n v="63"/>
    <n v="64"/>
    <n v="24.7"/>
    <n v="1"/>
    <n v="0"/>
    <n v="30166.618170000002"/>
    <s v="northwest"/>
    <x v="0"/>
    <s v="male"/>
    <n v="2"/>
    <x v="3"/>
  </r>
  <r>
    <n v="95"/>
    <n v="64"/>
    <n v="31.3"/>
    <n v="2"/>
    <n v="1"/>
    <n v="47291.055"/>
    <s v="southwest"/>
    <x v="1"/>
    <s v="female"/>
    <n v="4"/>
    <x v="0"/>
  </r>
  <r>
    <n v="200"/>
    <n v="64"/>
    <n v="39.33"/>
    <n v="0"/>
    <n v="0"/>
    <n v="14901.5167"/>
    <s v="northeast"/>
    <x v="0"/>
    <s v="female"/>
    <n v="5"/>
    <x v="2"/>
  </r>
  <r>
    <n v="329"/>
    <n v="64"/>
    <n v="33.799999999999997"/>
    <n v="1"/>
    <n v="1"/>
    <n v="47928.03"/>
    <s v="southwest"/>
    <x v="1"/>
    <s v="female"/>
    <n v="4"/>
    <x v="0"/>
  </r>
  <r>
    <n v="336"/>
    <n v="64"/>
    <n v="34.5"/>
    <n v="0"/>
    <n v="0"/>
    <n v="13822.803"/>
    <s v="southwest"/>
    <x v="0"/>
    <s v="male"/>
    <n v="4"/>
    <x v="0"/>
  </r>
  <r>
    <n v="379"/>
    <n v="64"/>
    <n v="30.114999999999998"/>
    <n v="3"/>
    <n v="0"/>
    <n v="16455.707849999999"/>
    <s v="northwest"/>
    <x v="0"/>
    <s v="female"/>
    <n v="4"/>
    <x v="0"/>
  </r>
  <r>
    <n v="399"/>
    <n v="64"/>
    <n v="25.6"/>
    <n v="2"/>
    <n v="0"/>
    <n v="14988.432000000001"/>
    <s v="southwest"/>
    <x v="0"/>
    <s v="male"/>
    <n v="3"/>
    <x v="1"/>
  </r>
  <r>
    <n v="403"/>
    <n v="64"/>
    <n v="32.965000000000003"/>
    <n v="0"/>
    <n v="0"/>
    <n v="14692.66935"/>
    <s v="northwest"/>
    <x v="0"/>
    <s v="female"/>
    <n v="4"/>
    <x v="0"/>
  </r>
  <r>
    <n v="419"/>
    <n v="64"/>
    <n v="39.159999999999997"/>
    <n v="1"/>
    <n v="0"/>
    <n v="14418.2804"/>
    <s v="southeast"/>
    <x v="0"/>
    <s v="male"/>
    <n v="5"/>
    <x v="2"/>
  </r>
  <r>
    <n v="421"/>
    <n v="64"/>
    <n v="33.880000000000003"/>
    <n v="0"/>
    <n v="1"/>
    <n v="46889.261200000001"/>
    <s v="southeast"/>
    <x v="1"/>
    <s v="male"/>
    <n v="4"/>
    <x v="0"/>
  </r>
  <r>
    <n v="535"/>
    <n v="64"/>
    <n v="40.479999999999997"/>
    <n v="0"/>
    <n v="0"/>
    <n v="13831.1152"/>
    <s v="southeast"/>
    <x v="0"/>
    <s v="male"/>
    <n v="6"/>
    <x v="5"/>
  </r>
  <r>
    <n v="604"/>
    <n v="64"/>
    <n v="39.049999999999997"/>
    <n v="3"/>
    <n v="0"/>
    <n v="16085.127500000001"/>
    <s v="southeast"/>
    <x v="0"/>
    <s v="female"/>
    <n v="5"/>
    <x v="2"/>
  </r>
  <r>
    <n v="636"/>
    <n v="64"/>
    <n v="38.19"/>
    <n v="0"/>
    <n v="0"/>
    <n v="14410.9321"/>
    <s v="northeast"/>
    <x v="0"/>
    <s v="male"/>
    <n v="5"/>
    <x v="2"/>
  </r>
  <r>
    <n v="665"/>
    <n v="64"/>
    <n v="22.99"/>
    <n v="0"/>
    <n v="1"/>
    <n v="27037.914100000002"/>
    <s v="southeast"/>
    <x v="1"/>
    <s v="female"/>
    <n v="2"/>
    <x v="3"/>
  </r>
  <r>
    <n v="753"/>
    <n v="64"/>
    <n v="37.905000000000001"/>
    <n v="0"/>
    <n v="0"/>
    <n v="14210.53595"/>
    <s v="northwest"/>
    <x v="0"/>
    <s v="male"/>
    <n v="5"/>
    <x v="2"/>
  </r>
  <r>
    <n v="769"/>
    <n v="64"/>
    <n v="39.700000000000003"/>
    <n v="0"/>
    <n v="0"/>
    <n v="14319.031000000001"/>
    <s v="southwest"/>
    <x v="0"/>
    <s v="female"/>
    <n v="5"/>
    <x v="2"/>
  </r>
  <r>
    <n v="802"/>
    <n v="64"/>
    <n v="35.97"/>
    <n v="0"/>
    <n v="0"/>
    <n v="14313.846299999999"/>
    <s v="southeast"/>
    <x v="0"/>
    <s v="female"/>
    <n v="5"/>
    <x v="2"/>
  </r>
  <r>
    <n v="826"/>
    <n v="64"/>
    <n v="31.824999999999999"/>
    <n v="2"/>
    <n v="0"/>
    <n v="16069.08475"/>
    <s v="northeast"/>
    <x v="0"/>
    <s v="female"/>
    <n v="4"/>
    <x v="0"/>
  </r>
  <r>
    <n v="891"/>
    <n v="64"/>
    <n v="26.885000000000002"/>
    <n v="0"/>
    <n v="1"/>
    <n v="29330.98315"/>
    <s v="northwest"/>
    <x v="1"/>
    <s v="female"/>
    <n v="3"/>
    <x v="1"/>
  </r>
  <r>
    <n v="1052"/>
    <n v="64"/>
    <n v="26.41"/>
    <n v="0"/>
    <n v="0"/>
    <n v="14394.5579"/>
    <s v="northeast"/>
    <x v="0"/>
    <s v="male"/>
    <n v="3"/>
    <x v="1"/>
  </r>
  <r>
    <n v="1242"/>
    <n v="64"/>
    <n v="36.96"/>
    <n v="2"/>
    <n v="1"/>
    <n v="49577.662400000001"/>
    <s v="southeast"/>
    <x v="1"/>
    <s v="male"/>
    <n v="5"/>
    <x v="2"/>
  </r>
  <r>
    <n v="1266"/>
    <n v="64"/>
    <n v="23.76"/>
    <n v="0"/>
    <n v="1"/>
    <n v="26926.5144"/>
    <s v="southeast"/>
    <x v="1"/>
    <s v="male"/>
    <n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D9C5E-DEAF-49FF-9A53-B21191D355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moker?">
  <location ref="A3:E6" firstHeaderRow="0" firstDataRow="1" firstDataCol="1"/>
  <pivotFields count="9">
    <pivotField dataField="1" numFmtId="49" showAll="0"/>
    <pivotField showAll="0"/>
    <pivotField showAll="0"/>
    <pivotField showAll="0"/>
    <pivotField showAll="0"/>
    <pivotField dataField="1" showAll="0"/>
    <pivotField showAll="0">
      <items count="5">
        <item x="1"/>
        <item x="3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rial_ID" fld="0" subtotal="count" baseField="0" baseItem="0"/>
    <dataField name="Average of charges" fld="5" subtotal="average" baseField="0" baseItem="0"/>
    <dataField name="Sum of charges" fld="5" baseField="0" baseItem="0"/>
    <dataField name="Sum of charges2" fld="5" baseField="0" baseItem="0"/>
  </dataFields>
  <formats count="1">
    <format dxfId="0">
      <pivotArea collapsedLevelsAreSubtotals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3C69A-BB27-42C1-8AC4-CEA15EEE3CB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11" firstHeaderRow="1" firstDataRow="2" firstDataCol="1"/>
  <pivotFields count="11">
    <pivotField numFmtId="49" showAll="0"/>
    <pivotField showAll="0"/>
    <pivotField showAll="0"/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 sortType="descending">
      <items count="8">
        <item x="5"/>
        <item m="1" x="6"/>
        <item x="2"/>
        <item x="0"/>
        <item x="1"/>
        <item x="3"/>
        <item x="4"/>
        <item t="default"/>
      </items>
    </pivotField>
  </pivotFields>
  <rowFields count="1">
    <field x="1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Average of charges" fld="5" subtotal="average" baseField="0" baseItem="0"/>
  </dataFields>
  <chartFormats count="2">
    <chartFormat chart="0" format="8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ABDF-A7F4-414B-BAE0-B2B0441F77A7}">
  <dimension ref="A1:I1365"/>
  <sheetViews>
    <sheetView workbookViewId="0">
      <selection activeCell="A17" sqref="A17"/>
    </sheetView>
  </sheetViews>
  <sheetFormatPr defaultRowHeight="15" x14ac:dyDescent="0.25"/>
  <cols>
    <col min="1" max="1" width="17.5703125" bestFit="1" customWidth="1"/>
    <col min="2" max="2" width="17.42578125" bestFit="1" customWidth="1"/>
    <col min="3" max="3" width="14.7109375" bestFit="1" customWidth="1"/>
    <col min="4" max="4" width="12.7109375" bestFit="1" customWidth="1"/>
    <col min="5" max="5" width="12" bestFit="1" customWidth="1"/>
    <col min="6" max="6" width="13.7109375" bestFit="1" customWidth="1"/>
    <col min="7" max="7" width="12.7109375" bestFit="1" customWidth="1"/>
    <col min="8" max="9" width="12.85546875" bestFit="1" customWidth="1"/>
  </cols>
  <sheetData>
    <row r="1" spans="1:9" x14ac:dyDescent="0.25">
      <c r="A1" t="s">
        <v>25</v>
      </c>
    </row>
    <row r="2" spans="1:9" ht="15.75" thickBot="1" x14ac:dyDescent="0.3"/>
    <row r="3" spans="1:9" x14ac:dyDescent="0.25">
      <c r="A3" s="5" t="s">
        <v>26</v>
      </c>
      <c r="B3" s="5"/>
    </row>
    <row r="4" spans="1:9" x14ac:dyDescent="0.25">
      <c r="A4" t="s">
        <v>27</v>
      </c>
      <c r="B4">
        <v>0.8658490228362441</v>
      </c>
    </row>
    <row r="5" spans="1:9" x14ac:dyDescent="0.25">
      <c r="A5" t="s">
        <v>28</v>
      </c>
      <c r="B5">
        <v>0.7496945303464787</v>
      </c>
    </row>
    <row r="6" spans="1:9" x14ac:dyDescent="0.25">
      <c r="A6" t="s">
        <v>29</v>
      </c>
      <c r="B6">
        <v>0.74894342616147191</v>
      </c>
    </row>
    <row r="7" spans="1:9" x14ac:dyDescent="0.25">
      <c r="A7" t="s">
        <v>30</v>
      </c>
      <c r="B7">
        <v>6067.7872489061865</v>
      </c>
    </row>
    <row r="8" spans="1:9" ht="15.75" thickBot="1" x14ac:dyDescent="0.3">
      <c r="A8" s="3" t="s">
        <v>31</v>
      </c>
      <c r="B8" s="3">
        <v>1338</v>
      </c>
    </row>
    <row r="10" spans="1:9" ht="15.75" thickBot="1" x14ac:dyDescent="0.3">
      <c r="A10" t="s">
        <v>32</v>
      </c>
    </row>
    <row r="11" spans="1:9" x14ac:dyDescent="0.25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25">
      <c r="A12" t="s">
        <v>33</v>
      </c>
      <c r="B12">
        <v>4</v>
      </c>
      <c r="C12">
        <v>146995771451.74826</v>
      </c>
      <c r="D12">
        <v>36748942862.937065</v>
      </c>
      <c r="E12">
        <v>998.12322353080208</v>
      </c>
      <c r="F12">
        <v>0</v>
      </c>
    </row>
    <row r="13" spans="1:9" x14ac:dyDescent="0.25">
      <c r="A13" t="s">
        <v>34</v>
      </c>
      <c r="B13">
        <v>1333</v>
      </c>
      <c r="C13">
        <v>49078450116.618683</v>
      </c>
      <c r="D13">
        <v>36818042.097988509</v>
      </c>
    </row>
    <row r="14" spans="1:9" ht="15.75" thickBot="1" x14ac:dyDescent="0.3">
      <c r="A14" s="3" t="s">
        <v>35</v>
      </c>
      <c r="B14" s="3">
        <v>1337</v>
      </c>
      <c r="C14" s="3">
        <v>196074221568.36694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25">
      <c r="A17" t="s">
        <v>36</v>
      </c>
      <c r="B17" s="2">
        <v>-12102.769362727864</v>
      </c>
      <c r="C17" s="2">
        <v>941.98394111738958</v>
      </c>
      <c r="D17" s="2">
        <v>-12.848169522265373</v>
      </c>
      <c r="E17" s="2">
        <v>1.0516493566553037E-35</v>
      </c>
      <c r="F17" s="2">
        <v>-13950.701858796227</v>
      </c>
      <c r="G17" s="2">
        <v>-10254.836866659502</v>
      </c>
      <c r="H17" s="2">
        <v>-13950.701858796227</v>
      </c>
      <c r="I17" s="2">
        <v>-10254.836866659502</v>
      </c>
    </row>
    <row r="18" spans="1:9" x14ac:dyDescent="0.25">
      <c r="A18" t="s">
        <v>0</v>
      </c>
      <c r="B18" s="2">
        <v>257.84950727657338</v>
      </c>
      <c r="C18" s="2">
        <v>11.89638633102869</v>
      </c>
      <c r="D18" s="2">
        <v>21.67460774235607</v>
      </c>
      <c r="E18" s="2">
        <v>1.7483421915829959E-89</v>
      </c>
      <c r="F18" s="2">
        <v>234.51182822780518</v>
      </c>
      <c r="G18" s="2">
        <v>281.1871863253416</v>
      </c>
      <c r="H18" s="2">
        <v>234.51182822780518</v>
      </c>
      <c r="I18" s="2">
        <v>281.1871863253416</v>
      </c>
    </row>
    <row r="19" spans="1:9" x14ac:dyDescent="0.25">
      <c r="A19" t="s">
        <v>2</v>
      </c>
      <c r="B19" s="2">
        <v>321.85140246534144</v>
      </c>
      <c r="C19" s="2">
        <v>27.377632125008208</v>
      </c>
      <c r="D19" s="2">
        <v>11.755998509869119</v>
      </c>
      <c r="E19" s="2">
        <v>1.9739867575334058E-30</v>
      </c>
      <c r="F19" s="2">
        <v>268.14346344337133</v>
      </c>
      <c r="G19" s="2">
        <v>375.55934148731154</v>
      </c>
      <c r="H19" s="2">
        <v>268.14346344337133</v>
      </c>
      <c r="I19" s="2">
        <v>375.55934148731154</v>
      </c>
    </row>
    <row r="20" spans="1:9" x14ac:dyDescent="0.25">
      <c r="A20" t="s">
        <v>3</v>
      </c>
      <c r="B20" s="2">
        <v>473.50231561375705</v>
      </c>
      <c r="C20" s="2">
        <v>137.7916715071139</v>
      </c>
      <c r="D20" s="2">
        <v>3.4363638268900099</v>
      </c>
      <c r="E20" s="2">
        <v>6.0771583467948427E-4</v>
      </c>
      <c r="F20" s="2">
        <v>203.19016234761011</v>
      </c>
      <c r="G20" s="2">
        <v>743.81446887990398</v>
      </c>
      <c r="H20" s="2">
        <v>203.19016234761011</v>
      </c>
      <c r="I20" s="2">
        <v>743.81446887990398</v>
      </c>
    </row>
    <row r="21" spans="1:9" ht="15.75" thickBot="1" x14ac:dyDescent="0.3">
      <c r="A21" s="3" t="s">
        <v>24</v>
      </c>
      <c r="B21" s="6">
        <v>23811.399844601834</v>
      </c>
      <c r="C21" s="6">
        <v>411.21971483169625</v>
      </c>
      <c r="D21" s="6">
        <v>57.90432458800607</v>
      </c>
      <c r="E21" s="6">
        <v>0</v>
      </c>
      <c r="F21" s="6">
        <v>23004.691533672405</v>
      </c>
      <c r="G21" s="6">
        <v>24618.108155531263</v>
      </c>
      <c r="H21" s="6">
        <v>23004.691533672405</v>
      </c>
      <c r="I21" s="6">
        <v>24618.108155531263</v>
      </c>
    </row>
    <row r="25" spans="1:9" x14ac:dyDescent="0.25">
      <c r="A25" t="s">
        <v>49</v>
      </c>
    </row>
    <row r="26" spans="1:9" ht="15.75" thickBot="1" x14ac:dyDescent="0.3"/>
    <row r="27" spans="1:9" x14ac:dyDescent="0.25">
      <c r="A27" s="4" t="s">
        <v>50</v>
      </c>
      <c r="B27" s="4" t="s">
        <v>51</v>
      </c>
      <c r="C27" s="4" t="s">
        <v>52</v>
      </c>
    </row>
    <row r="28" spans="1:9" x14ac:dyDescent="0.25">
      <c r="A28">
        <v>1</v>
      </c>
      <c r="B28">
        <v>3880.9459451187954</v>
      </c>
      <c r="C28">
        <v>-2155.3936451187956</v>
      </c>
    </row>
    <row r="29" spans="1:9" x14ac:dyDescent="0.25">
      <c r="A29">
        <v>2</v>
      </c>
      <c r="B29">
        <v>3513.6545923186004</v>
      </c>
      <c r="C29">
        <v>-2376.6435923186004</v>
      </c>
    </row>
    <row r="30" spans="1:9" x14ac:dyDescent="0.25">
      <c r="A30">
        <v>3</v>
      </c>
      <c r="B30">
        <v>1008.0414241259168</v>
      </c>
      <c r="C30">
        <v>1190.1484258740834</v>
      </c>
    </row>
    <row r="31" spans="1:9" x14ac:dyDescent="0.25">
      <c r="A31">
        <v>4</v>
      </c>
      <c r="B31">
        <v>5929.9108758003977</v>
      </c>
      <c r="C31">
        <v>-2536.5545258003976</v>
      </c>
    </row>
    <row r="32" spans="1:9" x14ac:dyDescent="0.25">
      <c r="A32">
        <v>5</v>
      </c>
      <c r="B32">
        <v>4004.4779810782456</v>
      </c>
      <c r="C32">
        <v>-1793.3472310782458</v>
      </c>
    </row>
    <row r="33" spans="1:3" x14ac:dyDescent="0.25">
      <c r="A33">
        <v>6</v>
      </c>
      <c r="B33">
        <v>27493.178674181821</v>
      </c>
      <c r="C33">
        <v>6809.9885258181821</v>
      </c>
    </row>
    <row r="34" spans="1:3" x14ac:dyDescent="0.25">
      <c r="A34">
        <v>7</v>
      </c>
      <c r="B34">
        <v>2231.0767534942133</v>
      </c>
      <c r="C34">
        <v>19113.769946505785</v>
      </c>
    </row>
    <row r="35" spans="1:3" x14ac:dyDescent="0.25">
      <c r="A35">
        <v>8</v>
      </c>
      <c r="B35">
        <v>182.49257680231585</v>
      </c>
      <c r="C35">
        <v>1523.131923197684</v>
      </c>
    </row>
    <row r="36" spans="1:3" x14ac:dyDescent="0.25">
      <c r="A36">
        <v>9</v>
      </c>
      <c r="B36">
        <v>24452.530669917262</v>
      </c>
      <c r="C36">
        <v>-8934.3504199172621</v>
      </c>
    </row>
    <row r="37" spans="1:3" x14ac:dyDescent="0.25">
      <c r="A37">
        <v>10</v>
      </c>
      <c r="B37">
        <v>28210.145793700125</v>
      </c>
      <c r="C37">
        <v>7939.337706299877</v>
      </c>
    </row>
    <row r="38" spans="1:3" x14ac:dyDescent="0.25">
      <c r="A38">
        <v>11</v>
      </c>
      <c r="B38">
        <v>-2324.7298484026933</v>
      </c>
      <c r="C38">
        <v>4019.5262484026935</v>
      </c>
    </row>
    <row r="39" spans="1:3" x14ac:dyDescent="0.25">
      <c r="A39">
        <v>12</v>
      </c>
      <c r="B39">
        <v>4858.9934546237273</v>
      </c>
      <c r="C39">
        <v>-3227.172254623727</v>
      </c>
    </row>
    <row r="40" spans="1:3" x14ac:dyDescent="0.25">
      <c r="A40">
        <v>13</v>
      </c>
      <c r="B40">
        <v>3619.8655551321626</v>
      </c>
      <c r="C40">
        <v>-2482.3958551321625</v>
      </c>
    </row>
    <row r="41" spans="1:3" x14ac:dyDescent="0.25">
      <c r="A41">
        <v>14</v>
      </c>
      <c r="B41">
        <v>1141.6097561490333</v>
      </c>
      <c r="C41">
        <v>474.15694385096663</v>
      </c>
    </row>
    <row r="42" spans="1:3" x14ac:dyDescent="0.25">
      <c r="A42">
        <v>15</v>
      </c>
      <c r="B42">
        <v>22861.736992705559</v>
      </c>
      <c r="C42">
        <v>-10032.28189270556</v>
      </c>
    </row>
    <row r="43" spans="1:3" x14ac:dyDescent="0.25">
      <c r="A43">
        <v>16</v>
      </c>
      <c r="B43">
        <v>2464.7997742712919</v>
      </c>
      <c r="C43">
        <v>-745.36347427129181</v>
      </c>
    </row>
    <row r="44" spans="1:3" x14ac:dyDescent="0.25">
      <c r="A44">
        <v>17</v>
      </c>
      <c r="B44">
        <v>-62.114489071343996</v>
      </c>
      <c r="C44">
        <v>1766.682589071344</v>
      </c>
    </row>
    <row r="45" spans="1:3" x14ac:dyDescent="0.25">
      <c r="A45">
        <v>18</v>
      </c>
      <c r="B45">
        <v>4858.9934546237273</v>
      </c>
      <c r="C45">
        <v>9274.0442953762722</v>
      </c>
    </row>
    <row r="46" spans="1:3" x14ac:dyDescent="0.25">
      <c r="A46">
        <v>19</v>
      </c>
      <c r="B46">
        <v>-770.18757449509485</v>
      </c>
      <c r="C46">
        <v>2377.6976744950948</v>
      </c>
    </row>
    <row r="47" spans="1:3" x14ac:dyDescent="0.25">
      <c r="A47">
        <v>20</v>
      </c>
      <c r="B47">
        <v>3743.3113500381078</v>
      </c>
      <c r="C47">
        <v>-261.44335003810784</v>
      </c>
    </row>
    <row r="48" spans="1:3" x14ac:dyDescent="0.25">
      <c r="A48">
        <v>21</v>
      </c>
      <c r="B48">
        <v>4823.5898003525399</v>
      </c>
      <c r="C48">
        <v>-3191.9215003525396</v>
      </c>
    </row>
    <row r="49" spans="1:3" x14ac:dyDescent="0.25">
      <c r="A49">
        <v>22</v>
      </c>
      <c r="B49">
        <v>1925.3179211521401</v>
      </c>
      <c r="C49">
        <v>5398.4168978478601</v>
      </c>
    </row>
    <row r="50" spans="1:3" x14ac:dyDescent="0.25">
      <c r="A50">
        <v>23</v>
      </c>
      <c r="B50">
        <v>6381.3505882847912</v>
      </c>
      <c r="C50">
        <v>-5231.9546882847917</v>
      </c>
    </row>
    <row r="51" spans="1:3" x14ac:dyDescent="0.25">
      <c r="A51">
        <v>24</v>
      </c>
      <c r="B51">
        <v>765.42436925428888</v>
      </c>
      <c r="C51">
        <v>1435.6727307457111</v>
      </c>
    </row>
    <row r="52" spans="1:3" x14ac:dyDescent="0.25">
      <c r="A52">
        <v>25</v>
      </c>
      <c r="B52">
        <v>2231.0767534942133</v>
      </c>
      <c r="C52">
        <v>-27.604903494213431</v>
      </c>
    </row>
    <row r="53" spans="1:3" x14ac:dyDescent="0.25">
      <c r="A53">
        <v>26</v>
      </c>
      <c r="B53">
        <v>2628.5632355389116</v>
      </c>
      <c r="C53">
        <v>-1006.3747355389116</v>
      </c>
    </row>
    <row r="54" spans="1:3" x14ac:dyDescent="0.25">
      <c r="A54">
        <v>27</v>
      </c>
      <c r="B54">
        <v>610.55494208121945</v>
      </c>
      <c r="C54">
        <v>1585.9182579187805</v>
      </c>
    </row>
    <row r="55" spans="1:3" x14ac:dyDescent="0.25">
      <c r="A55">
        <v>28</v>
      </c>
      <c r="B55">
        <v>3442.8472837762256</v>
      </c>
      <c r="C55">
        <v>8039.7875662237748</v>
      </c>
    </row>
    <row r="56" spans="1:3" x14ac:dyDescent="0.25">
      <c r="A56">
        <v>29</v>
      </c>
      <c r="B56">
        <v>732.85847501805074</v>
      </c>
      <c r="C56">
        <v>975.14292498194936</v>
      </c>
    </row>
    <row r="57" spans="1:3" x14ac:dyDescent="0.25">
      <c r="A57">
        <v>30</v>
      </c>
      <c r="B57">
        <v>3823.3934466647374</v>
      </c>
      <c r="C57">
        <v>-1022.1346466647374</v>
      </c>
    </row>
    <row r="58" spans="1:3" x14ac:dyDescent="0.25">
      <c r="A58">
        <v>31</v>
      </c>
      <c r="B58">
        <v>5013.8628817967956</v>
      </c>
      <c r="C58">
        <v>-2794.4177817967957</v>
      </c>
    </row>
    <row r="59" spans="1:3" x14ac:dyDescent="0.25">
      <c r="A59">
        <v>32</v>
      </c>
      <c r="B59">
        <v>5142.2226887932266</v>
      </c>
      <c r="C59">
        <v>-3509.1782887932268</v>
      </c>
    </row>
    <row r="60" spans="1:3" x14ac:dyDescent="0.25">
      <c r="A60">
        <v>33</v>
      </c>
      <c r="B60">
        <v>3209.5050169888527</v>
      </c>
      <c r="C60">
        <v>-1001.8075669888526</v>
      </c>
    </row>
    <row r="61" spans="1:3" x14ac:dyDescent="0.25">
      <c r="A61">
        <v>34</v>
      </c>
      <c r="B61">
        <v>27143.208394527515</v>
      </c>
      <c r="C61">
        <v>7474.6322554724829</v>
      </c>
    </row>
    <row r="62" spans="1:3" x14ac:dyDescent="0.25">
      <c r="A62">
        <v>35</v>
      </c>
      <c r="B62">
        <v>1711.2867385126883</v>
      </c>
      <c r="C62">
        <v>0.94026148731177273</v>
      </c>
    </row>
    <row r="63" spans="1:3" x14ac:dyDescent="0.25">
      <c r="A63">
        <v>36</v>
      </c>
      <c r="B63">
        <v>3372.039975233849</v>
      </c>
      <c r="C63">
        <v>-2235.6405752338487</v>
      </c>
    </row>
    <row r="64" spans="1:3" x14ac:dyDescent="0.25">
      <c r="A64">
        <v>37</v>
      </c>
      <c r="B64">
        <v>4341.1934506442331</v>
      </c>
      <c r="C64">
        <v>-2613.6534506442331</v>
      </c>
    </row>
    <row r="65" spans="1:3" x14ac:dyDescent="0.25">
      <c r="A65">
        <v>38</v>
      </c>
      <c r="B65">
        <v>5502.6962595544101</v>
      </c>
      <c r="C65">
        <v>-3285.09505955441</v>
      </c>
    </row>
    <row r="66" spans="1:3" x14ac:dyDescent="0.25">
      <c r="A66">
        <v>39</v>
      </c>
      <c r="B66">
        <v>28634.989644954374</v>
      </c>
      <c r="C66">
        <v>7672.8086550456283</v>
      </c>
    </row>
    <row r="67" spans="1:3" x14ac:dyDescent="0.25">
      <c r="A67">
        <v>40</v>
      </c>
      <c r="B67">
        <v>5779.4884656746035</v>
      </c>
      <c r="C67">
        <v>-4632.6918656746038</v>
      </c>
    </row>
    <row r="68" spans="1:3" x14ac:dyDescent="0.25">
      <c r="A68">
        <v>41</v>
      </c>
      <c r="B68">
        <v>29944.924852988312</v>
      </c>
      <c r="C68">
        <v>8847.7607470116855</v>
      </c>
    </row>
    <row r="69" spans="1:3" x14ac:dyDescent="0.25">
      <c r="A69">
        <v>42</v>
      </c>
      <c r="B69">
        <v>2239.1230385558483</v>
      </c>
      <c r="C69">
        <v>-1107.6164385558484</v>
      </c>
    </row>
    <row r="70" spans="1:3" x14ac:dyDescent="0.25">
      <c r="A70">
        <v>43</v>
      </c>
      <c r="B70">
        <v>2557.755926996535</v>
      </c>
      <c r="C70">
        <v>-935.87322699653487</v>
      </c>
    </row>
    <row r="71" spans="1:3" x14ac:dyDescent="0.25">
      <c r="A71">
        <v>44</v>
      </c>
      <c r="B71">
        <v>4540.3605661830388</v>
      </c>
      <c r="C71">
        <v>-3398.9154661830389</v>
      </c>
    </row>
    <row r="72" spans="1:3" x14ac:dyDescent="0.25">
      <c r="A72">
        <v>45</v>
      </c>
      <c r="B72">
        <v>5496.2592315051024</v>
      </c>
      <c r="C72">
        <v>-3861.6858315051022</v>
      </c>
    </row>
    <row r="73" spans="1:3" x14ac:dyDescent="0.25">
      <c r="A73">
        <v>46</v>
      </c>
      <c r="B73">
        <v>26562.266613077576</v>
      </c>
      <c r="C73">
        <v>7170.4200869224223</v>
      </c>
    </row>
    <row r="74" spans="1:3" x14ac:dyDescent="0.25">
      <c r="A74">
        <v>47</v>
      </c>
      <c r="B74">
        <v>1911.5961160206102</v>
      </c>
      <c r="C74">
        <v>392.40608397938968</v>
      </c>
    </row>
    <row r="75" spans="1:3" x14ac:dyDescent="0.25">
      <c r="A75">
        <v>48</v>
      </c>
      <c r="B75">
        <v>8.6928194710326352</v>
      </c>
      <c r="C75">
        <v>1113.1810805289674</v>
      </c>
    </row>
    <row r="76" spans="1:3" x14ac:dyDescent="0.25">
      <c r="A76">
        <v>49</v>
      </c>
      <c r="B76">
        <v>5472.1203763202029</v>
      </c>
      <c r="C76">
        <v>-3254.651226320203</v>
      </c>
    </row>
    <row r="77" spans="1:3" x14ac:dyDescent="0.25">
      <c r="A77">
        <v>50</v>
      </c>
      <c r="B77">
        <v>517.59878935597612</v>
      </c>
      <c r="C77">
        <v>1193.428010644024</v>
      </c>
    </row>
    <row r="78" spans="1:3" x14ac:dyDescent="0.25">
      <c r="A78">
        <v>51</v>
      </c>
      <c r="B78">
        <v>23290.647107017379</v>
      </c>
      <c r="C78">
        <v>-9542.7747570173797</v>
      </c>
    </row>
    <row r="79" spans="1:3" x14ac:dyDescent="0.25">
      <c r="A79">
        <v>52</v>
      </c>
      <c r="B79">
        <v>-31.538605837135037</v>
      </c>
      <c r="C79">
        <v>1736.2387558371349</v>
      </c>
    </row>
    <row r="80" spans="1:3" x14ac:dyDescent="0.25">
      <c r="A80">
        <v>53</v>
      </c>
      <c r="B80">
        <v>495.44994517310772</v>
      </c>
      <c r="C80">
        <v>11388.598634826893</v>
      </c>
    </row>
    <row r="81" spans="1:3" x14ac:dyDescent="0.25">
      <c r="A81">
        <v>54</v>
      </c>
      <c r="B81">
        <v>4522.5724979939396</v>
      </c>
      <c r="C81">
        <v>38.616002006060626</v>
      </c>
    </row>
    <row r="82" spans="1:3" x14ac:dyDescent="0.25">
      <c r="A82">
        <v>55</v>
      </c>
      <c r="B82">
        <v>2292.2285199626294</v>
      </c>
      <c r="C82">
        <v>-88.492569962629659</v>
      </c>
    </row>
    <row r="83" spans="1:3" x14ac:dyDescent="0.25">
      <c r="A83">
        <v>56</v>
      </c>
      <c r="B83">
        <v>1619.5590888100651</v>
      </c>
      <c r="C83">
        <v>581.27176118993475</v>
      </c>
    </row>
    <row r="84" spans="1:3" x14ac:dyDescent="0.25">
      <c r="A84">
        <v>57</v>
      </c>
      <c r="B84">
        <v>25629.278299917791</v>
      </c>
      <c r="C84">
        <v>-8450.5958999177892</v>
      </c>
    </row>
    <row r="85" spans="1:3" x14ac:dyDescent="0.25">
      <c r="A85">
        <v>58</v>
      </c>
      <c r="B85">
        <v>26550.534818948079</v>
      </c>
      <c r="C85">
        <v>-8327.0836189480797</v>
      </c>
    </row>
    <row r="86" spans="1:3" x14ac:dyDescent="0.25">
      <c r="A86">
        <v>59</v>
      </c>
      <c r="B86">
        <v>-551.32862081866278</v>
      </c>
      <c r="C86">
        <v>2253.7839208186629</v>
      </c>
    </row>
    <row r="87" spans="1:3" x14ac:dyDescent="0.25">
      <c r="A87">
        <v>60</v>
      </c>
      <c r="B87">
        <v>5135.7856607439207</v>
      </c>
      <c r="C87">
        <v>7754.2719892560799</v>
      </c>
    </row>
    <row r="88" spans="1:3" x14ac:dyDescent="0.25">
      <c r="A88">
        <v>61</v>
      </c>
      <c r="B88">
        <v>3265.8290124202867</v>
      </c>
      <c r="C88">
        <v>-2129.8883124202866</v>
      </c>
    </row>
    <row r="89" spans="1:3" x14ac:dyDescent="0.25">
      <c r="A89">
        <v>62</v>
      </c>
      <c r="B89">
        <v>5354.6446144203528</v>
      </c>
      <c r="C89">
        <v>-3720.6828144203528</v>
      </c>
    </row>
    <row r="90" spans="1:3" x14ac:dyDescent="0.25">
      <c r="A90">
        <v>63</v>
      </c>
      <c r="B90">
        <v>23321.222990251586</v>
      </c>
      <c r="C90">
        <v>-9037.7635902515867</v>
      </c>
    </row>
    <row r="91" spans="1:3" x14ac:dyDescent="0.25">
      <c r="A91">
        <v>64</v>
      </c>
      <c r="B91">
        <v>2677.2216998984181</v>
      </c>
      <c r="C91">
        <v>-956.86799989841825</v>
      </c>
    </row>
    <row r="92" spans="1:3" x14ac:dyDescent="0.25">
      <c r="A92">
        <v>65</v>
      </c>
      <c r="B92">
        <v>946.88965765750254</v>
      </c>
      <c r="C92">
        <v>762.03609234249757</v>
      </c>
    </row>
    <row r="93" spans="1:3" x14ac:dyDescent="0.25">
      <c r="A93">
        <v>66</v>
      </c>
      <c r="B93">
        <v>2123.6372876580294</v>
      </c>
      <c r="C93">
        <v>9148.6941023419695</v>
      </c>
    </row>
    <row r="94" spans="1:3" x14ac:dyDescent="0.25">
      <c r="A94">
        <v>67</v>
      </c>
      <c r="B94">
        <v>9638.4867812340472</v>
      </c>
      <c r="C94">
        <v>-8475.0240812340471</v>
      </c>
    </row>
    <row r="95" spans="1:3" x14ac:dyDescent="0.25">
      <c r="A95">
        <v>68</v>
      </c>
      <c r="B95">
        <v>2812.0185349441563</v>
      </c>
      <c r="C95">
        <v>-606.03773494415645</v>
      </c>
    </row>
    <row r="96" spans="1:3" x14ac:dyDescent="0.25">
      <c r="A96">
        <v>69</v>
      </c>
      <c r="B96">
        <v>4398.7459490982892</v>
      </c>
      <c r="C96">
        <v>-2768.9124490982895</v>
      </c>
    </row>
    <row r="97" spans="1:3" x14ac:dyDescent="0.25">
      <c r="A97">
        <v>70</v>
      </c>
      <c r="B97">
        <v>25587.425248911888</v>
      </c>
      <c r="C97">
        <v>-8702.501248911889</v>
      </c>
    </row>
    <row r="98" spans="1:3" x14ac:dyDescent="0.25">
      <c r="A98">
        <v>71</v>
      </c>
      <c r="B98">
        <v>1187.418091788187</v>
      </c>
      <c r="C98">
        <v>649.8189082118131</v>
      </c>
    </row>
    <row r="99" spans="1:3" x14ac:dyDescent="0.25">
      <c r="A99">
        <v>72</v>
      </c>
      <c r="B99">
        <v>4368.8329641045802</v>
      </c>
      <c r="C99">
        <v>318.96403589541933</v>
      </c>
    </row>
    <row r="100" spans="1:3" x14ac:dyDescent="0.25">
      <c r="A100">
        <v>73</v>
      </c>
      <c r="B100">
        <v>-629.81382911837136</v>
      </c>
      <c r="C100">
        <v>2255.2475791183715</v>
      </c>
    </row>
    <row r="101" spans="1:3" x14ac:dyDescent="0.25">
      <c r="A101">
        <v>74</v>
      </c>
      <c r="B101">
        <v>2097.8768067753972</v>
      </c>
      <c r="C101">
        <v>-354.66280677539726</v>
      </c>
    </row>
    <row r="102" spans="1:3" x14ac:dyDescent="0.25">
      <c r="A102">
        <v>75</v>
      </c>
      <c r="B102">
        <v>2410.4534211564837</v>
      </c>
      <c r="C102">
        <v>-78.93442115648395</v>
      </c>
    </row>
    <row r="103" spans="1:3" x14ac:dyDescent="0.25">
      <c r="A103">
        <v>76</v>
      </c>
      <c r="B103">
        <v>25716.165809898026</v>
      </c>
      <c r="C103">
        <v>-8635.0858098980243</v>
      </c>
    </row>
    <row r="104" spans="1:3" x14ac:dyDescent="0.25">
      <c r="A104">
        <v>77</v>
      </c>
      <c r="B104">
        <v>1021.2838655288306</v>
      </c>
      <c r="C104">
        <v>611.2805844711695</v>
      </c>
    </row>
    <row r="105" spans="1:3" x14ac:dyDescent="0.25">
      <c r="A105">
        <v>78</v>
      </c>
      <c r="B105">
        <v>3771.5040995951731</v>
      </c>
      <c r="C105">
        <v>-2510.0620995951731</v>
      </c>
    </row>
    <row r="106" spans="1:3" x14ac:dyDescent="0.25">
      <c r="A106">
        <v>79</v>
      </c>
      <c r="B106">
        <v>2410.4534211564837</v>
      </c>
      <c r="C106">
        <v>-567.93442115648372</v>
      </c>
    </row>
    <row r="107" spans="1:3" x14ac:dyDescent="0.25">
      <c r="A107">
        <v>80</v>
      </c>
      <c r="B107">
        <v>3512.7944746002772</v>
      </c>
      <c r="C107">
        <v>-793.51472460027708</v>
      </c>
    </row>
    <row r="108" spans="1:3" x14ac:dyDescent="0.25">
      <c r="A108">
        <v>81</v>
      </c>
      <c r="B108">
        <v>2641.8056769418235</v>
      </c>
      <c r="C108">
        <v>-1002.2425769418235</v>
      </c>
    </row>
    <row r="109" spans="1:3" x14ac:dyDescent="0.25">
      <c r="A109">
        <v>82</v>
      </c>
      <c r="B109">
        <v>3131.0198086891432</v>
      </c>
      <c r="C109">
        <v>-1000.3439086891431</v>
      </c>
    </row>
    <row r="110" spans="1:3" x14ac:dyDescent="0.25">
      <c r="A110">
        <v>83</v>
      </c>
      <c r="B110">
        <v>27808.199925922745</v>
      </c>
      <c r="C110">
        <v>6971.4150740772529</v>
      </c>
    </row>
    <row r="111" spans="1:3" x14ac:dyDescent="0.25">
      <c r="A111">
        <v>84</v>
      </c>
      <c r="B111">
        <v>-1474.6737605898925</v>
      </c>
      <c r="C111">
        <v>3202.4587605898923</v>
      </c>
    </row>
    <row r="112" spans="1:3" x14ac:dyDescent="0.25">
      <c r="A112">
        <v>85</v>
      </c>
      <c r="B112">
        <v>25963.991389796342</v>
      </c>
      <c r="C112">
        <v>-8611.3110897963415</v>
      </c>
    </row>
    <row r="113" spans="1:3" x14ac:dyDescent="0.25">
      <c r="A113">
        <v>86</v>
      </c>
      <c r="B113">
        <v>-3.4320973335777012</v>
      </c>
      <c r="C113">
        <v>1835.5260973335778</v>
      </c>
    </row>
    <row r="114" spans="1:3" x14ac:dyDescent="0.25">
      <c r="A114">
        <v>87</v>
      </c>
      <c r="B114">
        <v>26881.267886822563</v>
      </c>
      <c r="C114">
        <v>6869.023913177436</v>
      </c>
    </row>
    <row r="115" spans="1:3" x14ac:dyDescent="0.25">
      <c r="A115">
        <v>88</v>
      </c>
      <c r="B115">
        <v>28501.789698235556</v>
      </c>
      <c r="C115">
        <v>7717.6157517644424</v>
      </c>
    </row>
    <row r="116" spans="1:3" x14ac:dyDescent="0.25">
      <c r="A116">
        <v>89</v>
      </c>
      <c r="B116">
        <v>378.34256857755702</v>
      </c>
      <c r="C116">
        <v>2425.3552814224431</v>
      </c>
    </row>
    <row r="117" spans="1:3" x14ac:dyDescent="0.25">
      <c r="A117">
        <v>90</v>
      </c>
      <c r="B117">
        <v>25523.054968418823</v>
      </c>
      <c r="C117">
        <v>-9225.2089684188231</v>
      </c>
    </row>
    <row r="118" spans="1:3" x14ac:dyDescent="0.25">
      <c r="A118">
        <v>91</v>
      </c>
      <c r="B118">
        <v>746.10091642096268</v>
      </c>
      <c r="C118">
        <v>991.2750835790373</v>
      </c>
    </row>
    <row r="119" spans="1:3" x14ac:dyDescent="0.25">
      <c r="A119">
        <v>92</v>
      </c>
      <c r="B119">
        <v>1755.1050631498092</v>
      </c>
      <c r="C119">
        <v>-119.37141314980931</v>
      </c>
    </row>
    <row r="120" spans="1:3" x14ac:dyDescent="0.25">
      <c r="A120">
        <v>93</v>
      </c>
      <c r="B120">
        <v>23591.946553626774</v>
      </c>
      <c r="C120">
        <v>-9747.440553626775</v>
      </c>
    </row>
    <row r="121" spans="1:3" x14ac:dyDescent="0.25">
      <c r="A121">
        <v>94</v>
      </c>
      <c r="B121">
        <v>3868.0595203347748</v>
      </c>
      <c r="C121">
        <v>-2606.2005203347749</v>
      </c>
    </row>
    <row r="122" spans="1:3" x14ac:dyDescent="0.25">
      <c r="A122">
        <v>95</v>
      </c>
      <c r="B122">
        <v>4843.2692698047595</v>
      </c>
      <c r="C122">
        <v>-2705.1985698047592</v>
      </c>
    </row>
    <row r="123" spans="1:3" x14ac:dyDescent="0.25">
      <c r="A123">
        <v>96</v>
      </c>
      <c r="B123">
        <v>-1577.6662093788018</v>
      </c>
      <c r="C123">
        <v>3199.0064093788019</v>
      </c>
    </row>
    <row r="124" spans="1:3" x14ac:dyDescent="0.25">
      <c r="A124">
        <v>97</v>
      </c>
      <c r="B124">
        <v>4109.4480721837808</v>
      </c>
      <c r="C124">
        <v>-1974.5465721837809</v>
      </c>
    </row>
    <row r="125" spans="1:3" x14ac:dyDescent="0.25">
      <c r="A125">
        <v>98</v>
      </c>
      <c r="B125">
        <v>3449.6526971298317</v>
      </c>
      <c r="C125">
        <v>19633.302632870167</v>
      </c>
    </row>
    <row r="126" spans="1:3" x14ac:dyDescent="0.25">
      <c r="A126">
        <v>99</v>
      </c>
      <c r="B126">
        <v>898.9803325920011</v>
      </c>
      <c r="C126">
        <v>733.055917407999</v>
      </c>
    </row>
    <row r="127" spans="1:3" x14ac:dyDescent="0.25">
      <c r="A127">
        <v>100</v>
      </c>
      <c r="B127">
        <v>2387.5430689942041</v>
      </c>
      <c r="C127">
        <v>-643.07806899420416</v>
      </c>
    </row>
    <row r="128" spans="1:3" x14ac:dyDescent="0.25">
      <c r="A128">
        <v>101</v>
      </c>
      <c r="B128">
        <v>2033.5065262823282</v>
      </c>
      <c r="C128">
        <v>-779.57052628232827</v>
      </c>
    </row>
    <row r="129" spans="1:3" x14ac:dyDescent="0.25">
      <c r="A129">
        <v>102</v>
      </c>
      <c r="B129">
        <v>3385.2824166367627</v>
      </c>
      <c r="C129">
        <v>-1636.5084166367628</v>
      </c>
    </row>
    <row r="130" spans="1:3" x14ac:dyDescent="0.25">
      <c r="A130">
        <v>103</v>
      </c>
      <c r="B130">
        <v>26343.776044705442</v>
      </c>
      <c r="C130">
        <v>6204.564455294556</v>
      </c>
    </row>
    <row r="131" spans="1:3" x14ac:dyDescent="0.25">
      <c r="A131">
        <v>104</v>
      </c>
      <c r="B131">
        <v>2580.6539104734093</v>
      </c>
      <c r="C131">
        <v>-1324.3549104734093</v>
      </c>
    </row>
    <row r="132" spans="1:3" x14ac:dyDescent="0.25">
      <c r="A132">
        <v>105</v>
      </c>
      <c r="B132">
        <v>3588.8103081693375</v>
      </c>
      <c r="C132">
        <v>20470.869881830662</v>
      </c>
    </row>
    <row r="133" spans="1:3" x14ac:dyDescent="0.25">
      <c r="A133">
        <v>106</v>
      </c>
      <c r="B133">
        <v>4231.7516051206112</v>
      </c>
      <c r="C133">
        <v>-2585.3219051206115</v>
      </c>
    </row>
    <row r="134" spans="1:3" x14ac:dyDescent="0.25">
      <c r="A134">
        <v>107</v>
      </c>
      <c r="B134">
        <v>2611.2297937076164</v>
      </c>
      <c r="C134">
        <v>-482.79874370761627</v>
      </c>
    </row>
    <row r="135" spans="1:3" x14ac:dyDescent="0.25">
      <c r="A135">
        <v>108</v>
      </c>
      <c r="B135">
        <v>2641.8056769418235</v>
      </c>
      <c r="C135">
        <v>-1002.2425769418235</v>
      </c>
    </row>
    <row r="136" spans="1:3" x14ac:dyDescent="0.25">
      <c r="A136">
        <v>109</v>
      </c>
      <c r="B136">
        <v>-541.30469344040284</v>
      </c>
      <c r="C136">
        <v>1784.1206934404029</v>
      </c>
    </row>
    <row r="137" spans="1:3" x14ac:dyDescent="0.25">
      <c r="A137">
        <v>110</v>
      </c>
      <c r="B137">
        <v>25719.384323922677</v>
      </c>
      <c r="C137">
        <v>-8250.4004239226779</v>
      </c>
    </row>
    <row r="138" spans="1:3" x14ac:dyDescent="0.25">
      <c r="A138">
        <v>111</v>
      </c>
      <c r="B138">
        <v>27264.271055756319</v>
      </c>
      <c r="C138">
        <v>7175.5848442436836</v>
      </c>
    </row>
    <row r="139" spans="1:3" x14ac:dyDescent="0.25">
      <c r="A139">
        <v>112</v>
      </c>
      <c r="B139">
        <v>1158.4514655663063</v>
      </c>
      <c r="C139">
        <v>1550.6604344336936</v>
      </c>
    </row>
    <row r="140" spans="1:3" x14ac:dyDescent="0.25">
      <c r="A140">
        <v>113</v>
      </c>
      <c r="B140">
        <v>-670.04525442653903</v>
      </c>
      <c r="C140">
        <v>1912.305254426539</v>
      </c>
    </row>
    <row r="141" spans="1:3" x14ac:dyDescent="0.25">
      <c r="A141">
        <v>114</v>
      </c>
      <c r="B141">
        <v>4189.9109228001162</v>
      </c>
      <c r="C141">
        <v>-2926.6619228001164</v>
      </c>
    </row>
    <row r="142" spans="1:3" x14ac:dyDescent="0.25">
      <c r="A142">
        <v>115</v>
      </c>
      <c r="B142">
        <v>-201.75146383946776</v>
      </c>
      <c r="C142">
        <v>1829.0339138394677</v>
      </c>
    </row>
    <row r="143" spans="1:3" x14ac:dyDescent="0.25">
      <c r="A143">
        <v>116</v>
      </c>
      <c r="B143">
        <v>25902.839623327924</v>
      </c>
      <c r="C143">
        <v>-8154.3334233279238</v>
      </c>
    </row>
    <row r="144" spans="1:3" x14ac:dyDescent="0.25">
      <c r="A144">
        <v>117</v>
      </c>
      <c r="B144">
        <v>1679.4699835704541</v>
      </c>
      <c r="C144">
        <v>-427.06298357045421</v>
      </c>
    </row>
    <row r="145" spans="1:3" x14ac:dyDescent="0.25">
      <c r="A145">
        <v>118</v>
      </c>
      <c r="B145">
        <v>4568.0863206968934</v>
      </c>
      <c r="C145">
        <v>-2431.2040706968933</v>
      </c>
    </row>
    <row r="146" spans="1:3" x14ac:dyDescent="0.25">
      <c r="A146">
        <v>119</v>
      </c>
      <c r="B146">
        <v>1494.7861811425876</v>
      </c>
      <c r="C146">
        <v>726.77826885741229</v>
      </c>
    </row>
    <row r="147" spans="1:3" x14ac:dyDescent="0.25">
      <c r="A147">
        <v>120</v>
      </c>
      <c r="B147">
        <v>42.855602034192088</v>
      </c>
      <c r="C147">
        <v>2074.483247965808</v>
      </c>
    </row>
    <row r="148" spans="1:3" x14ac:dyDescent="0.25">
      <c r="A148">
        <v>121</v>
      </c>
      <c r="B148">
        <v>1274.6987244435327</v>
      </c>
      <c r="C148">
        <v>1638.8702755564673</v>
      </c>
    </row>
    <row r="149" spans="1:3" x14ac:dyDescent="0.25">
      <c r="A149">
        <v>122</v>
      </c>
      <c r="B149">
        <v>73.431485268399229</v>
      </c>
      <c r="C149">
        <v>1555.0394147316008</v>
      </c>
    </row>
    <row r="150" spans="1:3" x14ac:dyDescent="0.25">
      <c r="A150">
        <v>123</v>
      </c>
      <c r="B150">
        <v>6020.0168998052877</v>
      </c>
      <c r="C150">
        <v>-3289.9090498052879</v>
      </c>
    </row>
    <row r="151" spans="1:3" x14ac:dyDescent="0.25">
      <c r="A151">
        <v>124</v>
      </c>
      <c r="B151">
        <v>5831.3530753733576</v>
      </c>
      <c r="C151">
        <v>-4072.0150753733578</v>
      </c>
    </row>
    <row r="152" spans="1:3" x14ac:dyDescent="0.25">
      <c r="A152">
        <v>125</v>
      </c>
      <c r="B152">
        <v>1189.0273488005134</v>
      </c>
      <c r="C152">
        <v>1520.2166011994866</v>
      </c>
    </row>
    <row r="153" spans="1:3" x14ac:dyDescent="0.25">
      <c r="A153">
        <v>126</v>
      </c>
      <c r="B153">
        <v>25459.06544191546</v>
      </c>
      <c r="C153">
        <v>-9008.1707419154591</v>
      </c>
    </row>
    <row r="154" spans="1:3" x14ac:dyDescent="0.25">
      <c r="A154">
        <v>127</v>
      </c>
      <c r="B154">
        <v>2518.6543949720785</v>
      </c>
      <c r="C154">
        <v>19975.005245027922</v>
      </c>
    </row>
    <row r="155" spans="1:3" x14ac:dyDescent="0.25">
      <c r="A155">
        <v>128</v>
      </c>
      <c r="B155">
        <v>-1217.1926386176192</v>
      </c>
      <c r="C155">
        <v>2946.0896386176191</v>
      </c>
    </row>
    <row r="156" spans="1:3" x14ac:dyDescent="0.25">
      <c r="A156">
        <v>129</v>
      </c>
      <c r="B156">
        <v>27064.723186227806</v>
      </c>
      <c r="C156">
        <v>9834.0098937721923</v>
      </c>
    </row>
    <row r="157" spans="1:3" x14ac:dyDescent="0.25">
      <c r="A157">
        <v>130</v>
      </c>
      <c r="B157">
        <v>31052.462062773389</v>
      </c>
      <c r="C157">
        <v>8670.2841372266121</v>
      </c>
    </row>
    <row r="158" spans="1:3" x14ac:dyDescent="0.25">
      <c r="A158">
        <v>131</v>
      </c>
      <c r="B158">
        <v>3206.1878932252876</v>
      </c>
      <c r="C158">
        <v>15632.515766774712</v>
      </c>
    </row>
    <row r="159" spans="1:3" x14ac:dyDescent="0.25">
      <c r="A159">
        <v>132</v>
      </c>
      <c r="B159">
        <v>26269.750222138413</v>
      </c>
      <c r="C159">
        <v>7037.8005778615843</v>
      </c>
    </row>
    <row r="160" spans="1:3" x14ac:dyDescent="0.25">
      <c r="A160">
        <v>133</v>
      </c>
      <c r="B160">
        <v>-830.97095565920972</v>
      </c>
      <c r="C160">
        <v>2072.5359556592098</v>
      </c>
    </row>
    <row r="161" spans="1:3" x14ac:dyDescent="0.25">
      <c r="A161">
        <v>134</v>
      </c>
      <c r="B161">
        <v>27840.385066169278</v>
      </c>
      <c r="C161">
        <v>6988.2689338307246</v>
      </c>
    </row>
    <row r="162" spans="1:3" x14ac:dyDescent="0.25">
      <c r="A162">
        <v>135</v>
      </c>
      <c r="B162">
        <v>1555.9379476110018</v>
      </c>
      <c r="C162">
        <v>1154.8906023889983</v>
      </c>
    </row>
    <row r="163" spans="1:3" x14ac:dyDescent="0.25">
      <c r="A163">
        <v>136</v>
      </c>
      <c r="B163">
        <v>28723.019416903728</v>
      </c>
      <c r="C163">
        <v>7674.5565830962732</v>
      </c>
    </row>
    <row r="164" spans="1:3" x14ac:dyDescent="0.25">
      <c r="A164">
        <v>137</v>
      </c>
      <c r="B164">
        <v>-573.48983368693644</v>
      </c>
      <c r="C164">
        <v>2305.1668336869361</v>
      </c>
    </row>
    <row r="165" spans="1:3" x14ac:dyDescent="0.25">
      <c r="A165">
        <v>138</v>
      </c>
      <c r="B165">
        <v>24081.529070678393</v>
      </c>
      <c r="C165">
        <v>-9369.7852706783924</v>
      </c>
    </row>
    <row r="166" spans="1:3" x14ac:dyDescent="0.25">
      <c r="A166">
        <v>139</v>
      </c>
      <c r="B166">
        <v>26359.00849711039</v>
      </c>
      <c r="C166">
        <v>-8798.6287471103897</v>
      </c>
    </row>
    <row r="167" spans="1:3" x14ac:dyDescent="0.25">
      <c r="A167">
        <v>140</v>
      </c>
      <c r="B167">
        <v>2379.8651692368721</v>
      </c>
      <c r="C167">
        <v>-122.38991923687217</v>
      </c>
    </row>
    <row r="168" spans="1:3" x14ac:dyDescent="0.25">
      <c r="A168">
        <v>141</v>
      </c>
      <c r="B168">
        <v>2318.713402768456</v>
      </c>
      <c r="C168">
        <v>138.49774723154405</v>
      </c>
    </row>
    <row r="169" spans="1:3" x14ac:dyDescent="0.25">
      <c r="A169">
        <v>142</v>
      </c>
      <c r="B169">
        <v>7330.234252090022</v>
      </c>
      <c r="C169">
        <v>-2499.6042520900219</v>
      </c>
    </row>
    <row r="170" spans="1:3" x14ac:dyDescent="0.25">
      <c r="A170">
        <v>143</v>
      </c>
      <c r="B170">
        <v>4148.8193797736276</v>
      </c>
      <c r="C170">
        <v>-2168.7493797736279</v>
      </c>
    </row>
    <row r="171" spans="1:3" x14ac:dyDescent="0.25">
      <c r="A171">
        <v>144</v>
      </c>
      <c r="B171">
        <v>25977.61458518896</v>
      </c>
      <c r="C171">
        <v>-8892.3469851889604</v>
      </c>
    </row>
    <row r="172" spans="1:3" x14ac:dyDescent="0.25">
      <c r="A172">
        <v>145</v>
      </c>
      <c r="B172">
        <v>3781.528026973433</v>
      </c>
      <c r="C172">
        <v>-2389.9993269734332</v>
      </c>
    </row>
    <row r="173" spans="1:3" x14ac:dyDescent="0.25">
      <c r="A173">
        <v>146</v>
      </c>
      <c r="B173">
        <v>2624.4722351105311</v>
      </c>
      <c r="C173">
        <v>-854.94058511053117</v>
      </c>
    </row>
    <row r="174" spans="1:3" x14ac:dyDescent="0.25">
      <c r="A174">
        <v>147</v>
      </c>
      <c r="B174">
        <v>2043.53045366059</v>
      </c>
      <c r="C174">
        <v>-76.50775366058997</v>
      </c>
    </row>
    <row r="175" spans="1:3" x14ac:dyDescent="0.25">
      <c r="A175">
        <v>148</v>
      </c>
      <c r="B175">
        <v>4892.2961194685668</v>
      </c>
      <c r="C175">
        <v>22831.992630531433</v>
      </c>
    </row>
    <row r="176" spans="1:3" x14ac:dyDescent="0.25">
      <c r="A176">
        <v>149</v>
      </c>
      <c r="B176">
        <v>4232.881498404322</v>
      </c>
      <c r="C176">
        <v>-1176.4933984043219</v>
      </c>
    </row>
    <row r="177" spans="1:3" x14ac:dyDescent="0.25">
      <c r="A177">
        <v>150</v>
      </c>
      <c r="B177">
        <v>4020.4595727771953</v>
      </c>
      <c r="C177">
        <v>-1453.9888727771954</v>
      </c>
    </row>
    <row r="178" spans="1:3" x14ac:dyDescent="0.25">
      <c r="A178">
        <v>151</v>
      </c>
      <c r="B178">
        <v>3675.3170641598708</v>
      </c>
      <c r="C178">
        <v>-1795.2470641598709</v>
      </c>
    </row>
    <row r="179" spans="1:3" x14ac:dyDescent="0.25">
      <c r="A179">
        <v>152</v>
      </c>
      <c r="B179">
        <v>3954.0992812820973</v>
      </c>
      <c r="C179">
        <v>-1591.8702312820974</v>
      </c>
    </row>
    <row r="180" spans="1:3" x14ac:dyDescent="0.25">
      <c r="A180">
        <v>153</v>
      </c>
      <c r="B180">
        <v>6079.5470405759706</v>
      </c>
      <c r="C180">
        <v>-4095.0937405759705</v>
      </c>
    </row>
    <row r="181" spans="1:3" x14ac:dyDescent="0.25">
      <c r="A181">
        <v>154</v>
      </c>
      <c r="B181">
        <v>3179.6659043632453</v>
      </c>
      <c r="C181">
        <v>-1301.7365043632453</v>
      </c>
    </row>
    <row r="182" spans="1:3" x14ac:dyDescent="0.25">
      <c r="A182">
        <v>155</v>
      </c>
      <c r="B182">
        <v>2581.0222957777105</v>
      </c>
      <c r="C182">
        <v>-705.67829577771045</v>
      </c>
    </row>
    <row r="183" spans="1:3" x14ac:dyDescent="0.25">
      <c r="A183">
        <v>156</v>
      </c>
      <c r="B183">
        <v>5114.2873461161453</v>
      </c>
      <c r="C183">
        <v>-199.22749611614563</v>
      </c>
    </row>
    <row r="184" spans="1:3" x14ac:dyDescent="0.25">
      <c r="A184">
        <v>157</v>
      </c>
      <c r="B184">
        <v>26741.630912054439</v>
      </c>
      <c r="C184">
        <v>6734.1862379455633</v>
      </c>
    </row>
    <row r="185" spans="1:3" x14ac:dyDescent="0.25">
      <c r="A185">
        <v>158</v>
      </c>
      <c r="B185">
        <v>3327.7175494973026</v>
      </c>
      <c r="C185">
        <v>-1066.1487494973026</v>
      </c>
    </row>
    <row r="186" spans="1:3" x14ac:dyDescent="0.25">
      <c r="A186">
        <v>159</v>
      </c>
      <c r="B186">
        <v>2899.6551842183972</v>
      </c>
      <c r="C186">
        <v>-439.93508421839715</v>
      </c>
    </row>
    <row r="187" spans="1:3" x14ac:dyDescent="0.25">
      <c r="A187">
        <v>160</v>
      </c>
      <c r="B187">
        <v>29752.083787074498</v>
      </c>
      <c r="C187">
        <v>7713.2599629255019</v>
      </c>
    </row>
    <row r="188" spans="1:3" x14ac:dyDescent="0.25">
      <c r="A188">
        <v>161</v>
      </c>
      <c r="B188">
        <v>24725.231875609075</v>
      </c>
      <c r="C188">
        <v>1400.4428943909261</v>
      </c>
    </row>
    <row r="189" spans="1:3" x14ac:dyDescent="0.25">
      <c r="A189">
        <v>162</v>
      </c>
      <c r="B189">
        <v>23881.98120114988</v>
      </c>
      <c r="C189">
        <v>-3714.6451711498812</v>
      </c>
    </row>
    <row r="190" spans="1:3" x14ac:dyDescent="0.25">
      <c r="A190">
        <v>163</v>
      </c>
      <c r="B190">
        <v>25652.163914709257</v>
      </c>
      <c r="C190">
        <v>-9419.3169147092576</v>
      </c>
    </row>
    <row r="191" spans="1:3" x14ac:dyDescent="0.25">
      <c r="A191">
        <v>164</v>
      </c>
      <c r="B191">
        <v>3771.8724848994725</v>
      </c>
      <c r="C191">
        <v>-1891.3854848994724</v>
      </c>
    </row>
    <row r="192" spans="1:3" x14ac:dyDescent="0.25">
      <c r="A192">
        <v>165</v>
      </c>
      <c r="B192">
        <v>30493.570515767402</v>
      </c>
      <c r="C192">
        <v>7850.9954842325969</v>
      </c>
    </row>
    <row r="193" spans="1:3" x14ac:dyDescent="0.25">
      <c r="A193">
        <v>166</v>
      </c>
      <c r="B193">
        <v>608.45395265487173</v>
      </c>
      <c r="C193">
        <v>1356.3260473451282</v>
      </c>
    </row>
    <row r="194" spans="1:3" x14ac:dyDescent="0.25">
      <c r="A194">
        <v>167</v>
      </c>
      <c r="B194">
        <v>5082.9375862171246</v>
      </c>
      <c r="C194">
        <v>-1503.1088862171246</v>
      </c>
    </row>
    <row r="195" spans="1:3" x14ac:dyDescent="0.25">
      <c r="A195">
        <v>168</v>
      </c>
      <c r="B195">
        <v>4747.4506196737584</v>
      </c>
      <c r="C195">
        <v>-3214.9809196737583</v>
      </c>
    </row>
    <row r="196" spans="1:3" x14ac:dyDescent="0.25">
      <c r="A196">
        <v>169</v>
      </c>
      <c r="B196">
        <v>6021.9821734365105</v>
      </c>
      <c r="C196">
        <v>-3995.0080734365106</v>
      </c>
    </row>
    <row r="197" spans="1:3" x14ac:dyDescent="0.25">
      <c r="A197">
        <v>170</v>
      </c>
      <c r="B197">
        <v>4808.6023861421727</v>
      </c>
      <c r="C197">
        <v>-2403.8685861421727</v>
      </c>
    </row>
    <row r="198" spans="1:3" x14ac:dyDescent="0.25">
      <c r="A198">
        <v>171</v>
      </c>
      <c r="B198">
        <v>2282.4496307789482</v>
      </c>
      <c r="C198">
        <v>315.32936922105182</v>
      </c>
    </row>
    <row r="199" spans="1:3" x14ac:dyDescent="0.25">
      <c r="A199">
        <v>172</v>
      </c>
      <c r="B199">
        <v>1304.4021212740149</v>
      </c>
      <c r="C199">
        <v>1876.107978725985</v>
      </c>
    </row>
    <row r="200" spans="1:3" x14ac:dyDescent="0.25">
      <c r="A200">
        <v>173</v>
      </c>
      <c r="B200">
        <v>3295.9007945550675</v>
      </c>
      <c r="C200">
        <v>13290.596915444932</v>
      </c>
    </row>
    <row r="201" spans="1:3" x14ac:dyDescent="0.25">
      <c r="A201">
        <v>174</v>
      </c>
      <c r="B201">
        <v>-802.4960618513494</v>
      </c>
      <c r="C201">
        <v>3969.951911851349</v>
      </c>
    </row>
    <row r="202" spans="1:3" x14ac:dyDescent="0.25">
      <c r="A202">
        <v>175</v>
      </c>
      <c r="B202">
        <v>5172.2944709280091</v>
      </c>
      <c r="C202">
        <v>-3637.9899709280089</v>
      </c>
    </row>
    <row r="203" spans="1:3" x14ac:dyDescent="0.25">
      <c r="A203">
        <v>176</v>
      </c>
      <c r="B203">
        <v>27289.060440496312</v>
      </c>
      <c r="C203">
        <v>-9346.9544404963126</v>
      </c>
    </row>
    <row r="204" spans="1:3" x14ac:dyDescent="0.25">
      <c r="A204">
        <v>177</v>
      </c>
      <c r="B204">
        <v>1903.0457298595497</v>
      </c>
      <c r="C204">
        <v>1174.0497701404502</v>
      </c>
    </row>
    <row r="205" spans="1:3" x14ac:dyDescent="0.25">
      <c r="A205">
        <v>178</v>
      </c>
      <c r="B205">
        <v>1245.2403658076319</v>
      </c>
      <c r="C205">
        <v>2615.9692841923679</v>
      </c>
    </row>
    <row r="206" spans="1:3" x14ac:dyDescent="0.25">
      <c r="A206">
        <v>179</v>
      </c>
      <c r="B206">
        <v>24629.42559416348</v>
      </c>
      <c r="C206">
        <v>-9270.3210941634807</v>
      </c>
    </row>
    <row r="207" spans="1:3" x14ac:dyDescent="0.25">
      <c r="A207">
        <v>180</v>
      </c>
      <c r="B207">
        <v>-614.21299140912538</v>
      </c>
      <c r="C207">
        <v>3199.4819914091249</v>
      </c>
    </row>
    <row r="208" spans="1:3" x14ac:dyDescent="0.25">
      <c r="A208">
        <v>181</v>
      </c>
      <c r="B208">
        <v>2117.9246615319189</v>
      </c>
      <c r="C208">
        <v>-13.811261531918717</v>
      </c>
    </row>
    <row r="209" spans="1:3" x14ac:dyDescent="0.25">
      <c r="A209">
        <v>182</v>
      </c>
      <c r="B209">
        <v>4535.0286940466322</v>
      </c>
      <c r="C209">
        <v>-2514.4763940466319</v>
      </c>
    </row>
    <row r="210" spans="1:3" x14ac:dyDescent="0.25">
      <c r="A210">
        <v>183</v>
      </c>
      <c r="B210">
        <v>2637.7146765134457</v>
      </c>
      <c r="C210">
        <v>-731.35642651344574</v>
      </c>
    </row>
    <row r="211" spans="1:3" x14ac:dyDescent="0.25">
      <c r="A211">
        <v>184</v>
      </c>
      <c r="B211">
        <v>5175.512984952662</v>
      </c>
      <c r="C211">
        <v>-3258.1945849526619</v>
      </c>
    </row>
    <row r="212" spans="1:3" x14ac:dyDescent="0.25">
      <c r="A212">
        <v>185</v>
      </c>
      <c r="B212">
        <v>962.85888067104793</v>
      </c>
      <c r="C212">
        <v>1140.221119328952</v>
      </c>
    </row>
    <row r="213" spans="1:3" x14ac:dyDescent="0.25">
      <c r="A213">
        <v>186</v>
      </c>
      <c r="B213">
        <v>3321.6489067522962</v>
      </c>
      <c r="C213">
        <v>-1795.3369067522963</v>
      </c>
    </row>
    <row r="214" spans="1:3" x14ac:dyDescent="0.25">
      <c r="A214">
        <v>187</v>
      </c>
      <c r="B214">
        <v>436.25108365050983</v>
      </c>
      <c r="C214">
        <v>2149.59956634949</v>
      </c>
    </row>
    <row r="215" spans="1:3" x14ac:dyDescent="0.25">
      <c r="A215">
        <v>188</v>
      </c>
      <c r="B215">
        <v>2545.139277777906</v>
      </c>
      <c r="C215">
        <v>734.7292722220941</v>
      </c>
    </row>
    <row r="216" spans="1:3" x14ac:dyDescent="0.25">
      <c r="A216">
        <v>189</v>
      </c>
      <c r="B216">
        <v>4777.1787538750496</v>
      </c>
      <c r="C216">
        <v>21241.771766124948</v>
      </c>
    </row>
    <row r="217" spans="1:3" x14ac:dyDescent="0.25">
      <c r="A217">
        <v>190</v>
      </c>
      <c r="B217">
        <v>4448.128815380991</v>
      </c>
      <c r="C217">
        <v>-2427.9518153809913</v>
      </c>
    </row>
    <row r="218" spans="1:3" x14ac:dyDescent="0.25">
      <c r="A218">
        <v>191</v>
      </c>
      <c r="B218">
        <v>3371.5358741344226</v>
      </c>
      <c r="C218">
        <v>-1462.0084241344225</v>
      </c>
    </row>
    <row r="219" spans="1:3" x14ac:dyDescent="0.25">
      <c r="A219">
        <v>192</v>
      </c>
      <c r="B219">
        <v>1689.8622962530153</v>
      </c>
      <c r="C219">
        <v>412.40240374698487</v>
      </c>
    </row>
    <row r="220" spans="1:3" x14ac:dyDescent="0.25">
      <c r="A220">
        <v>193</v>
      </c>
      <c r="B220">
        <v>782.24134130075254</v>
      </c>
      <c r="C220">
        <v>733.10355869924751</v>
      </c>
    </row>
    <row r="221" spans="1:3" x14ac:dyDescent="0.25">
      <c r="A221">
        <v>194</v>
      </c>
      <c r="B221">
        <v>1615.8364736859858</v>
      </c>
      <c r="C221">
        <v>392.10852631401417</v>
      </c>
    </row>
    <row r="222" spans="1:3" x14ac:dyDescent="0.25">
      <c r="A222">
        <v>195</v>
      </c>
      <c r="B222">
        <v>28839.229569724739</v>
      </c>
      <c r="C222">
        <v>6746.3464302752618</v>
      </c>
    </row>
    <row r="223" spans="1:3" x14ac:dyDescent="0.25">
      <c r="A223">
        <v>196</v>
      </c>
      <c r="B223">
        <v>6381.2148724896651</v>
      </c>
      <c r="C223">
        <v>-3626.1939224896651</v>
      </c>
    </row>
    <row r="224" spans="1:3" x14ac:dyDescent="0.25">
      <c r="A224">
        <v>197</v>
      </c>
      <c r="B224">
        <v>29962.871718318485</v>
      </c>
      <c r="C224">
        <v>7202.2920816815167</v>
      </c>
    </row>
    <row r="225" spans="1:3" x14ac:dyDescent="0.25">
      <c r="A225">
        <v>198</v>
      </c>
      <c r="B225">
        <v>2597.8516365095766</v>
      </c>
      <c r="C225">
        <v>-442.17013650957642</v>
      </c>
    </row>
    <row r="226" spans="1:3" x14ac:dyDescent="0.25">
      <c r="A226">
        <v>199</v>
      </c>
      <c r="B226">
        <v>1672.528854421721</v>
      </c>
      <c r="C226">
        <v>373.15639557827899</v>
      </c>
    </row>
    <row r="227" spans="1:3" x14ac:dyDescent="0.25">
      <c r="A227">
        <v>200</v>
      </c>
      <c r="B227">
        <v>5156.5702861090413</v>
      </c>
      <c r="C227">
        <v>-2989.8382861090413</v>
      </c>
    </row>
    <row r="228" spans="1:3" x14ac:dyDescent="0.25">
      <c r="A228">
        <v>201</v>
      </c>
      <c r="B228">
        <v>1411.3622233815822</v>
      </c>
      <c r="C228">
        <v>2594.0602766184179</v>
      </c>
    </row>
    <row r="229" spans="1:3" x14ac:dyDescent="0.25">
      <c r="A229">
        <v>202</v>
      </c>
      <c r="B229">
        <v>1390.9088772645473</v>
      </c>
      <c r="C229">
        <v>759.56012273545275</v>
      </c>
    </row>
    <row r="230" spans="1:3" x14ac:dyDescent="0.25">
      <c r="A230">
        <v>203</v>
      </c>
      <c r="B230">
        <v>2845.6772164078902</v>
      </c>
      <c r="C230">
        <v>-688.92541640789022</v>
      </c>
    </row>
    <row r="231" spans="1:3" x14ac:dyDescent="0.25">
      <c r="A231">
        <v>204</v>
      </c>
      <c r="B231">
        <v>3782.2647975820346</v>
      </c>
      <c r="C231">
        <v>-1527.4680975820347</v>
      </c>
    </row>
    <row r="232" spans="1:3" x14ac:dyDescent="0.25">
      <c r="A232">
        <v>205</v>
      </c>
      <c r="B232">
        <v>4133.463580258961</v>
      </c>
      <c r="C232">
        <v>-1490.1950802589608</v>
      </c>
    </row>
    <row r="233" spans="1:3" x14ac:dyDescent="0.25">
      <c r="A233">
        <v>206</v>
      </c>
      <c r="B233">
        <v>2208.4114395265133</v>
      </c>
      <c r="C233">
        <v>-543.41183952651318</v>
      </c>
    </row>
    <row r="234" spans="1:3" x14ac:dyDescent="0.25">
      <c r="A234">
        <v>207</v>
      </c>
      <c r="B234">
        <v>5646.5459258357705</v>
      </c>
      <c r="C234">
        <v>-1720.7877258357703</v>
      </c>
    </row>
    <row r="235" spans="1:3" x14ac:dyDescent="0.25">
      <c r="A235">
        <v>208</v>
      </c>
      <c r="B235">
        <v>1030.4353065033638</v>
      </c>
      <c r="C235">
        <v>1701.4768934966364</v>
      </c>
    </row>
    <row r="236" spans="1:3" x14ac:dyDescent="0.25">
      <c r="A236">
        <v>209</v>
      </c>
      <c r="B236">
        <v>6190.8555499919021</v>
      </c>
      <c r="C236">
        <v>-2747.7915499919022</v>
      </c>
    </row>
    <row r="237" spans="1:3" x14ac:dyDescent="0.25">
      <c r="A237">
        <v>210</v>
      </c>
      <c r="B237">
        <v>6283.0501947377361</v>
      </c>
      <c r="C237">
        <v>-4600.4531947377363</v>
      </c>
    </row>
    <row r="238" spans="1:3" x14ac:dyDescent="0.25">
      <c r="A238">
        <v>211</v>
      </c>
      <c r="B238">
        <v>3155.035316764322</v>
      </c>
      <c r="C238">
        <v>-515.99241676432212</v>
      </c>
    </row>
    <row r="239" spans="1:3" x14ac:dyDescent="0.25">
      <c r="A239">
        <v>212</v>
      </c>
      <c r="B239">
        <v>82.582926242933354</v>
      </c>
      <c r="C239">
        <v>2445.2357237570668</v>
      </c>
    </row>
    <row r="240" spans="1:3" x14ac:dyDescent="0.25">
      <c r="A240">
        <v>213</v>
      </c>
      <c r="B240">
        <v>28785.657093274745</v>
      </c>
      <c r="C240">
        <v>6809.9327067252561</v>
      </c>
    </row>
    <row r="241" spans="1:3" x14ac:dyDescent="0.25">
      <c r="A241">
        <v>214</v>
      </c>
      <c r="B241">
        <v>30259.355762576306</v>
      </c>
      <c r="C241">
        <v>7225.0935374236942</v>
      </c>
    </row>
    <row r="242" spans="1:3" x14ac:dyDescent="0.25">
      <c r="A242">
        <v>215</v>
      </c>
      <c r="B242">
        <v>2864.9883005558095</v>
      </c>
      <c r="C242">
        <v>-614.15310055580949</v>
      </c>
    </row>
    <row r="243" spans="1:3" x14ac:dyDescent="0.25">
      <c r="A243">
        <v>216</v>
      </c>
      <c r="B243">
        <v>34777.768699199994</v>
      </c>
      <c r="C243">
        <v>9723.6295008000088</v>
      </c>
    </row>
    <row r="244" spans="1:3" x14ac:dyDescent="0.25">
      <c r="A244">
        <v>217</v>
      </c>
      <c r="B244">
        <v>27165.602276904963</v>
      </c>
      <c r="C244">
        <v>6741.9457230950393</v>
      </c>
    </row>
    <row r="245" spans="1:3" x14ac:dyDescent="0.25">
      <c r="A245">
        <v>218</v>
      </c>
      <c r="B245">
        <v>4438.8416586113308</v>
      </c>
      <c r="C245">
        <v>-2764.2093586113306</v>
      </c>
    </row>
    <row r="246" spans="1:3" x14ac:dyDescent="0.25">
      <c r="A246">
        <v>219</v>
      </c>
      <c r="B246">
        <v>2292.0928041675033</v>
      </c>
      <c r="C246">
        <v>-137.73180416750347</v>
      </c>
    </row>
    <row r="247" spans="1:3" x14ac:dyDescent="0.25">
      <c r="A247">
        <v>220</v>
      </c>
      <c r="B247">
        <v>3904.5683305188631</v>
      </c>
      <c r="C247">
        <v>-1849.2434305188631</v>
      </c>
    </row>
    <row r="248" spans="1:3" x14ac:dyDescent="0.25">
      <c r="A248">
        <v>221</v>
      </c>
      <c r="B248">
        <v>1839.4245886604867</v>
      </c>
      <c r="C248">
        <v>2456.8466113395134</v>
      </c>
    </row>
    <row r="249" spans="1:3" x14ac:dyDescent="0.25">
      <c r="A249">
        <v>222</v>
      </c>
      <c r="B249">
        <v>3354.2024323031292</v>
      </c>
      <c r="C249">
        <v>-612.25443230312931</v>
      </c>
    </row>
    <row r="250" spans="1:3" x14ac:dyDescent="0.25">
      <c r="A250">
        <v>223</v>
      </c>
      <c r="B250">
        <v>4899.4575494410683</v>
      </c>
      <c r="C250">
        <v>-3072.6145494410684</v>
      </c>
    </row>
    <row r="251" spans="1:3" x14ac:dyDescent="0.25">
      <c r="A251">
        <v>224</v>
      </c>
      <c r="B251">
        <v>1502.3159964193892</v>
      </c>
      <c r="C251">
        <v>892.85555358061083</v>
      </c>
    </row>
    <row r="252" spans="1:3" x14ac:dyDescent="0.25">
      <c r="A252">
        <v>225</v>
      </c>
      <c r="B252">
        <v>-103.34174789295838</v>
      </c>
      <c r="C252">
        <v>2878.5338978929581</v>
      </c>
    </row>
    <row r="253" spans="1:3" x14ac:dyDescent="0.25">
      <c r="A253">
        <v>226</v>
      </c>
      <c r="B253">
        <v>30388.464708866741</v>
      </c>
      <c r="C253">
        <v>8123.163591133256</v>
      </c>
    </row>
    <row r="254" spans="1:3" x14ac:dyDescent="0.25">
      <c r="A254">
        <v>227</v>
      </c>
      <c r="B254">
        <v>7316.5615819557815</v>
      </c>
      <c r="C254">
        <v>-5479.2796819557816</v>
      </c>
    </row>
    <row r="255" spans="1:3" x14ac:dyDescent="0.25">
      <c r="A255">
        <v>228</v>
      </c>
      <c r="B255">
        <v>26750.782353028972</v>
      </c>
      <c r="C255">
        <v>-8716.8144530289719</v>
      </c>
    </row>
    <row r="256" spans="1:3" x14ac:dyDescent="0.25">
      <c r="A256">
        <v>229</v>
      </c>
      <c r="B256">
        <v>4307.2509689048411</v>
      </c>
      <c r="C256">
        <v>-2482.9655689048413</v>
      </c>
    </row>
    <row r="257" spans="1:3" x14ac:dyDescent="0.25">
      <c r="A257">
        <v>230</v>
      </c>
      <c r="B257">
        <v>6500.2012816629313</v>
      </c>
      <c r="C257">
        <v>-2033.5798816629313</v>
      </c>
    </row>
    <row r="258" spans="1:3" x14ac:dyDescent="0.25">
      <c r="A258">
        <v>231</v>
      </c>
      <c r="B258">
        <v>7413.8785106747964</v>
      </c>
      <c r="C258">
        <v>-3913.2662106747966</v>
      </c>
    </row>
    <row r="259" spans="1:3" x14ac:dyDescent="0.25">
      <c r="A259">
        <v>232</v>
      </c>
      <c r="B259">
        <v>29272.021096301713</v>
      </c>
      <c r="C259">
        <v>6917.0806036982867</v>
      </c>
    </row>
    <row r="260" spans="1:3" x14ac:dyDescent="0.25">
      <c r="A260">
        <v>233</v>
      </c>
      <c r="B260">
        <v>5630.4409870270993</v>
      </c>
      <c r="C260">
        <v>-3213.4859870270993</v>
      </c>
    </row>
    <row r="261" spans="1:3" x14ac:dyDescent="0.25">
      <c r="A261">
        <v>234</v>
      </c>
      <c r="B261">
        <v>2360.0499839895247</v>
      </c>
      <c r="C261">
        <v>-544.17408398952466</v>
      </c>
    </row>
    <row r="262" spans="1:3" x14ac:dyDescent="0.25">
      <c r="A262">
        <v>235</v>
      </c>
      <c r="B262">
        <v>7188.9632829387619</v>
      </c>
      <c r="C262">
        <v>-3591.3672829387619</v>
      </c>
    </row>
    <row r="263" spans="1:3" x14ac:dyDescent="0.25">
      <c r="A263">
        <v>236</v>
      </c>
      <c r="B263">
        <v>29136.462753276566</v>
      </c>
      <c r="C263">
        <v>6884.5484467234346</v>
      </c>
    </row>
    <row r="264" spans="1:3" x14ac:dyDescent="0.25">
      <c r="A264">
        <v>237</v>
      </c>
      <c r="B264">
        <v>10516.145276450985</v>
      </c>
      <c r="C264">
        <v>-8078.0900764509852</v>
      </c>
    </row>
    <row r="265" spans="1:3" x14ac:dyDescent="0.25">
      <c r="A265">
        <v>238</v>
      </c>
      <c r="B265">
        <v>2878.2307419587241</v>
      </c>
      <c r="C265">
        <v>-188.11694195872406</v>
      </c>
    </row>
    <row r="266" spans="1:3" x14ac:dyDescent="0.25">
      <c r="A266">
        <v>239</v>
      </c>
      <c r="B266">
        <v>3107.1259916988224</v>
      </c>
      <c r="C266">
        <v>-318.06859169882227</v>
      </c>
    </row>
    <row r="267" spans="1:3" x14ac:dyDescent="0.25">
      <c r="A267">
        <v>240</v>
      </c>
      <c r="B267">
        <v>-148.78169822781183</v>
      </c>
      <c r="C267">
        <v>21744.163988227814</v>
      </c>
    </row>
    <row r="268" spans="1:3" x14ac:dyDescent="0.25">
      <c r="A268">
        <v>241</v>
      </c>
      <c r="B268">
        <v>5772.8171120912602</v>
      </c>
      <c r="C268">
        <v>-2181.3371120912602</v>
      </c>
    </row>
    <row r="269" spans="1:3" x14ac:dyDescent="0.25">
      <c r="A269">
        <v>242</v>
      </c>
      <c r="B269">
        <v>1716.3471790588428</v>
      </c>
      <c r="C269">
        <v>679.74872094115699</v>
      </c>
    </row>
    <row r="270" spans="1:3" x14ac:dyDescent="0.25">
      <c r="A270">
        <v>243</v>
      </c>
      <c r="B270">
        <v>27745.303186646877</v>
      </c>
      <c r="C270">
        <v>6420.9698133531238</v>
      </c>
    </row>
    <row r="271" spans="1:3" x14ac:dyDescent="0.25">
      <c r="A271">
        <v>244</v>
      </c>
      <c r="B271">
        <v>31871.818920242258</v>
      </c>
      <c r="C271">
        <v>9032.3805797577443</v>
      </c>
    </row>
    <row r="272" spans="1:3" x14ac:dyDescent="0.25">
      <c r="A272">
        <v>245</v>
      </c>
      <c r="B272">
        <v>2235.2894450074514</v>
      </c>
      <c r="C272">
        <v>12190.78440499255</v>
      </c>
    </row>
    <row r="273" spans="1:3" x14ac:dyDescent="0.25">
      <c r="A273">
        <v>246</v>
      </c>
      <c r="B273">
        <v>5049.1184515874529</v>
      </c>
      <c r="C273">
        <v>-2149.6291015874531</v>
      </c>
    </row>
    <row r="274" spans="1:3" x14ac:dyDescent="0.25">
      <c r="A274">
        <v>247</v>
      </c>
      <c r="B274">
        <v>27282.217921086492</v>
      </c>
      <c r="C274">
        <v>-8953.9798210864938</v>
      </c>
    </row>
    <row r="275" spans="1:3" x14ac:dyDescent="0.25">
      <c r="A275">
        <v>248</v>
      </c>
      <c r="B275">
        <v>2839.6085736628838</v>
      </c>
      <c r="C275">
        <v>10287.068876337114</v>
      </c>
    </row>
    <row r="276" spans="1:3" x14ac:dyDescent="0.25">
      <c r="A276">
        <v>249</v>
      </c>
      <c r="B276">
        <v>2571.6241605837345</v>
      </c>
      <c r="C276">
        <v>19824.120079416265</v>
      </c>
    </row>
    <row r="277" spans="1:3" x14ac:dyDescent="0.25">
      <c r="A277">
        <v>250</v>
      </c>
      <c r="B277">
        <v>4577.6061469757269</v>
      </c>
      <c r="C277">
        <v>6218.3311830242737</v>
      </c>
    </row>
    <row r="278" spans="1:3" x14ac:dyDescent="0.25">
      <c r="A278">
        <v>251</v>
      </c>
      <c r="B278">
        <v>2646.8661174879799</v>
      </c>
      <c r="C278">
        <v>399.19588251202003</v>
      </c>
    </row>
    <row r="279" spans="1:3" x14ac:dyDescent="0.25">
      <c r="A279">
        <v>252</v>
      </c>
      <c r="B279">
        <v>4817.7538271167068</v>
      </c>
      <c r="C279">
        <v>-1962.3162771167067</v>
      </c>
    </row>
    <row r="280" spans="1:3" x14ac:dyDescent="0.25">
      <c r="A280">
        <v>253</v>
      </c>
      <c r="B280">
        <v>4205.3884133996426</v>
      </c>
      <c r="C280">
        <v>-667.68541339964258</v>
      </c>
    </row>
    <row r="281" spans="1:3" x14ac:dyDescent="0.25">
      <c r="A281">
        <v>254</v>
      </c>
      <c r="B281">
        <v>1555.7898631304724</v>
      </c>
      <c r="C281">
        <v>23525.97797686953</v>
      </c>
    </row>
    <row r="282" spans="1:3" x14ac:dyDescent="0.25">
      <c r="A282">
        <v>255</v>
      </c>
      <c r="B282">
        <v>5627.2101043170405</v>
      </c>
      <c r="C282">
        <v>-3640.2767043170406</v>
      </c>
    </row>
    <row r="283" spans="1:3" x14ac:dyDescent="0.25">
      <c r="A283">
        <v>256</v>
      </c>
      <c r="B283">
        <v>2968.7175199533212</v>
      </c>
      <c r="C283">
        <v>15986.502650046679</v>
      </c>
    </row>
    <row r="284" spans="1:3" x14ac:dyDescent="0.25">
      <c r="A284">
        <v>257</v>
      </c>
      <c r="B284">
        <v>30819.352465495191</v>
      </c>
      <c r="C284">
        <v>7306.8940345048104</v>
      </c>
    </row>
    <row r="285" spans="1:3" x14ac:dyDescent="0.25">
      <c r="A285">
        <v>258</v>
      </c>
      <c r="B285">
        <v>5229.2566272291333</v>
      </c>
      <c r="C285">
        <v>-611.17672722913358</v>
      </c>
    </row>
    <row r="286" spans="1:3" x14ac:dyDescent="0.25">
      <c r="A286">
        <v>259</v>
      </c>
      <c r="B286">
        <v>1616.9416295988858</v>
      </c>
      <c r="C286">
        <v>352.67237040111422</v>
      </c>
    </row>
    <row r="287" spans="1:3" x14ac:dyDescent="0.25">
      <c r="A287">
        <v>260</v>
      </c>
      <c r="B287">
        <v>27069.783626773962</v>
      </c>
      <c r="C287">
        <v>8077.7448532260387</v>
      </c>
    </row>
    <row r="288" spans="1:3" x14ac:dyDescent="0.25">
      <c r="A288">
        <v>261</v>
      </c>
      <c r="B288">
        <v>2218.8037522090754</v>
      </c>
      <c r="C288">
        <v>825.40954779092453</v>
      </c>
    </row>
    <row r="289" spans="1:3" x14ac:dyDescent="0.25">
      <c r="A289">
        <v>262</v>
      </c>
      <c r="B289">
        <v>3515.8649041444005</v>
      </c>
      <c r="C289">
        <v>-1538.0499041444004</v>
      </c>
    </row>
    <row r="290" spans="1:3" x14ac:dyDescent="0.25">
      <c r="A290">
        <v>263</v>
      </c>
      <c r="B290">
        <v>1699.0137372275494</v>
      </c>
      <c r="C290">
        <v>653.95471277245042</v>
      </c>
    </row>
    <row r="291" spans="1:3" x14ac:dyDescent="0.25">
      <c r="A291">
        <v>264</v>
      </c>
      <c r="B291">
        <v>1359.4605076266143</v>
      </c>
      <c r="C291">
        <v>1098.0414923733856</v>
      </c>
    </row>
    <row r="292" spans="1:3" x14ac:dyDescent="0.25">
      <c r="A292">
        <v>265</v>
      </c>
      <c r="B292">
        <v>5193.8529729579459</v>
      </c>
      <c r="C292">
        <v>-958.92597295794621</v>
      </c>
    </row>
    <row r="293" spans="1:3" x14ac:dyDescent="0.25">
      <c r="A293">
        <v>266</v>
      </c>
      <c r="B293">
        <v>6803.490739274358</v>
      </c>
      <c r="C293">
        <v>10324.935340725642</v>
      </c>
    </row>
    <row r="294" spans="1:3" x14ac:dyDescent="0.25">
      <c r="A294">
        <v>267</v>
      </c>
      <c r="B294">
        <v>1882.4690366327941</v>
      </c>
      <c r="C294">
        <v>960.29171336720583</v>
      </c>
    </row>
    <row r="295" spans="1:3" x14ac:dyDescent="0.25">
      <c r="A295">
        <v>268</v>
      </c>
      <c r="B295">
        <v>5025.3479817068528</v>
      </c>
      <c r="C295">
        <v>-2552.0138817068528</v>
      </c>
    </row>
    <row r="296" spans="1:3" x14ac:dyDescent="0.25">
      <c r="A296">
        <v>269</v>
      </c>
      <c r="B296">
        <v>3181.5201995701514</v>
      </c>
      <c r="C296">
        <v>9428.3668204298483</v>
      </c>
    </row>
    <row r="297" spans="1:3" x14ac:dyDescent="0.25">
      <c r="A297">
        <v>270</v>
      </c>
      <c r="B297">
        <v>24501.409435100537</v>
      </c>
      <c r="C297">
        <v>-9929.5186351005377</v>
      </c>
    </row>
    <row r="298" spans="1:3" x14ac:dyDescent="0.25">
      <c r="A298">
        <v>271</v>
      </c>
      <c r="B298">
        <v>28421.559517128397</v>
      </c>
      <c r="C298">
        <v>6051.2814828716037</v>
      </c>
    </row>
    <row r="299" spans="1:3" x14ac:dyDescent="0.25">
      <c r="A299">
        <v>272</v>
      </c>
      <c r="B299">
        <v>2389.3849955157057</v>
      </c>
      <c r="C299">
        <v>-416.43499551570562</v>
      </c>
    </row>
    <row r="300" spans="1:3" x14ac:dyDescent="0.25">
      <c r="A300">
        <v>273</v>
      </c>
      <c r="B300">
        <v>6795.5306952662304</v>
      </c>
      <c r="C300">
        <v>-4314.5515952662299</v>
      </c>
    </row>
    <row r="301" spans="1:3" x14ac:dyDescent="0.25">
      <c r="A301">
        <v>274</v>
      </c>
      <c r="B301">
        <v>4388.0822048254759</v>
      </c>
      <c r="C301">
        <v>-2406.5003048254757</v>
      </c>
    </row>
    <row r="302" spans="1:3" x14ac:dyDescent="0.25">
      <c r="A302">
        <v>275</v>
      </c>
      <c r="B302">
        <v>3717.0220306852389</v>
      </c>
      <c r="C302">
        <v>-866.33828068523871</v>
      </c>
    </row>
    <row r="303" spans="1:3" x14ac:dyDescent="0.25">
      <c r="A303">
        <v>276</v>
      </c>
      <c r="B303">
        <v>27497.845992052866</v>
      </c>
      <c r="C303">
        <v>-8849.4242920528668</v>
      </c>
    </row>
    <row r="304" spans="1:3" x14ac:dyDescent="0.25">
      <c r="A304">
        <v>277</v>
      </c>
      <c r="B304">
        <v>27895.332474097566</v>
      </c>
      <c r="C304">
        <v>6358.7208759024361</v>
      </c>
    </row>
    <row r="305" spans="1:3" x14ac:dyDescent="0.25">
      <c r="A305">
        <v>278</v>
      </c>
      <c r="B305">
        <v>3007.3396882491616</v>
      </c>
      <c r="C305">
        <v>-542.72088824916136</v>
      </c>
    </row>
    <row r="306" spans="1:3" x14ac:dyDescent="0.25">
      <c r="A306">
        <v>279</v>
      </c>
      <c r="B306">
        <v>2782.4120918277231</v>
      </c>
      <c r="C306">
        <v>-61.091291827723126</v>
      </c>
    </row>
    <row r="307" spans="1:3" x14ac:dyDescent="0.25">
      <c r="A307">
        <v>280</v>
      </c>
      <c r="B307">
        <v>7070.9957886248903</v>
      </c>
      <c r="C307">
        <v>-2566.3333886248902</v>
      </c>
    </row>
    <row r="308" spans="1:3" x14ac:dyDescent="0.25">
      <c r="A308">
        <v>281</v>
      </c>
      <c r="B308">
        <v>2627.9234186443582</v>
      </c>
      <c r="C308">
        <v>-490.26981864435811</v>
      </c>
    </row>
    <row r="309" spans="1:3" x14ac:dyDescent="0.25">
      <c r="A309">
        <v>282</v>
      </c>
      <c r="B309">
        <v>3210.4744571066267</v>
      </c>
      <c r="C309">
        <v>-687.30495710662672</v>
      </c>
    </row>
    <row r="310" spans="1:3" x14ac:dyDescent="0.25">
      <c r="A310">
        <v>283</v>
      </c>
      <c r="B310">
        <v>33758.985663287465</v>
      </c>
      <c r="C310">
        <v>8353.2499367125347</v>
      </c>
    </row>
    <row r="311" spans="1:3" x14ac:dyDescent="0.25">
      <c r="A311">
        <v>284</v>
      </c>
      <c r="B311">
        <v>4389.5928520988919</v>
      </c>
      <c r="C311">
        <v>-483.4658520988919</v>
      </c>
    </row>
    <row r="312" spans="1:3" x14ac:dyDescent="0.25">
      <c r="A312">
        <v>285</v>
      </c>
      <c r="B312">
        <v>4403.2284161769148</v>
      </c>
      <c r="C312">
        <v>676.86758382308471</v>
      </c>
    </row>
    <row r="313" spans="1:3" x14ac:dyDescent="0.25">
      <c r="A313">
        <v>286</v>
      </c>
      <c r="B313">
        <v>4188.9027206012643</v>
      </c>
      <c r="C313">
        <v>-1461.5076206012641</v>
      </c>
    </row>
    <row r="314" spans="1:3" x14ac:dyDescent="0.25">
      <c r="A314">
        <v>287</v>
      </c>
      <c r="B314">
        <v>5809.4245320142591</v>
      </c>
      <c r="C314">
        <v>-3275.0307820142589</v>
      </c>
    </row>
    <row r="315" spans="1:3" x14ac:dyDescent="0.25">
      <c r="A315">
        <v>288</v>
      </c>
      <c r="B315">
        <v>3546.8091726829089</v>
      </c>
      <c r="C315">
        <v>-333.18712268290892</v>
      </c>
    </row>
    <row r="316" spans="1:3" x14ac:dyDescent="0.25">
      <c r="A316">
        <v>289</v>
      </c>
      <c r="B316">
        <v>7643.9775260667057</v>
      </c>
      <c r="C316">
        <v>10234.923153933294</v>
      </c>
    </row>
    <row r="317" spans="1:3" x14ac:dyDescent="0.25">
      <c r="A317">
        <v>290</v>
      </c>
      <c r="B317">
        <v>1895.7114780357069</v>
      </c>
      <c r="C317">
        <v>1310.7798719642929</v>
      </c>
    </row>
    <row r="318" spans="1:3" x14ac:dyDescent="0.25">
      <c r="A318">
        <v>291</v>
      </c>
      <c r="B318">
        <v>3133.6108745046499</v>
      </c>
      <c r="C318">
        <v>176.18172549535029</v>
      </c>
    </row>
    <row r="319" spans="1:3" x14ac:dyDescent="0.25">
      <c r="A319">
        <v>292</v>
      </c>
      <c r="B319">
        <v>25921.142505276992</v>
      </c>
      <c r="C319">
        <v>-10103.156805276993</v>
      </c>
    </row>
    <row r="320" spans="1:3" x14ac:dyDescent="0.25">
      <c r="A320">
        <v>293</v>
      </c>
      <c r="B320">
        <v>5190.241336258181</v>
      </c>
      <c r="C320">
        <v>13027.92005374182</v>
      </c>
    </row>
    <row r="321" spans="1:3" x14ac:dyDescent="0.25">
      <c r="A321">
        <v>294</v>
      </c>
      <c r="B321">
        <v>3584.9643459355393</v>
      </c>
      <c r="C321">
        <v>806.68765406446073</v>
      </c>
    </row>
    <row r="322" spans="1:3" x14ac:dyDescent="0.25">
      <c r="A322">
        <v>295</v>
      </c>
      <c r="B322">
        <v>4829.3007704537886</v>
      </c>
      <c r="C322">
        <v>48.68027954621175</v>
      </c>
    </row>
    <row r="323" spans="1:3" x14ac:dyDescent="0.25">
      <c r="A323">
        <v>296</v>
      </c>
      <c r="B323">
        <v>29134.361763850215</v>
      </c>
      <c r="C323">
        <v>-9200.9037638502159</v>
      </c>
    </row>
    <row r="324" spans="1:3" x14ac:dyDescent="0.25">
      <c r="A324">
        <v>297</v>
      </c>
      <c r="B324">
        <v>3331.9302410105406</v>
      </c>
      <c r="C324">
        <v>19909.544288989458</v>
      </c>
    </row>
    <row r="325" spans="1:3" x14ac:dyDescent="0.25">
      <c r="A325">
        <v>298</v>
      </c>
      <c r="B325">
        <v>2063.45496130739</v>
      </c>
      <c r="C325">
        <v>1530.71588869261</v>
      </c>
    </row>
    <row r="326" spans="1:3" x14ac:dyDescent="0.25">
      <c r="A326">
        <v>299</v>
      </c>
      <c r="B326">
        <v>5756.6998045971832</v>
      </c>
      <c r="C326">
        <v>-2529.5787045971833</v>
      </c>
    </row>
    <row r="327" spans="1:3" x14ac:dyDescent="0.25">
      <c r="A327">
        <v>300</v>
      </c>
      <c r="B327">
        <v>29829.180039185649</v>
      </c>
      <c r="C327">
        <v>6295.3936608143522</v>
      </c>
    </row>
    <row r="328" spans="1:3" x14ac:dyDescent="0.25">
      <c r="A328">
        <v>301</v>
      </c>
      <c r="B328">
        <v>4095.5658138863155</v>
      </c>
      <c r="C328">
        <v>-1462.5738138863153</v>
      </c>
    </row>
    <row r="329" spans="1:3" x14ac:dyDescent="0.25">
      <c r="A329">
        <v>302</v>
      </c>
      <c r="B329">
        <v>8376.5702206650622</v>
      </c>
      <c r="C329">
        <v>-5138.1345206650622</v>
      </c>
    </row>
    <row r="330" spans="1:3" x14ac:dyDescent="0.25">
      <c r="A330">
        <v>303</v>
      </c>
      <c r="B330">
        <v>5442.5139332037697</v>
      </c>
      <c r="C330">
        <v>-2420.7047832037697</v>
      </c>
    </row>
    <row r="331" spans="1:3" x14ac:dyDescent="0.25">
      <c r="A331">
        <v>304</v>
      </c>
      <c r="B331">
        <v>3912.8720224604817</v>
      </c>
      <c r="C331">
        <v>276.24107753951785</v>
      </c>
    </row>
    <row r="332" spans="1:3" x14ac:dyDescent="0.25">
      <c r="A332">
        <v>305</v>
      </c>
      <c r="B332">
        <v>1511.4798060793294</v>
      </c>
      <c r="C332">
        <v>1697.3071939206704</v>
      </c>
    </row>
    <row r="333" spans="1:3" x14ac:dyDescent="0.25">
      <c r="A333">
        <v>306</v>
      </c>
      <c r="B333">
        <v>27874.780518241616</v>
      </c>
      <c r="C333">
        <v>6025.8724817583825</v>
      </c>
    </row>
    <row r="334" spans="1:3" x14ac:dyDescent="0.25">
      <c r="A334">
        <v>307</v>
      </c>
      <c r="B334">
        <v>1295.826997742146</v>
      </c>
      <c r="C334">
        <v>1006.4730022578542</v>
      </c>
    </row>
    <row r="335" spans="1:3" x14ac:dyDescent="0.25">
      <c r="A335">
        <v>308</v>
      </c>
      <c r="B335">
        <v>5485.4845088079755</v>
      </c>
      <c r="C335">
        <v>-1608.1802588079754</v>
      </c>
    </row>
    <row r="336" spans="1:3" x14ac:dyDescent="0.25">
      <c r="A336">
        <v>309</v>
      </c>
      <c r="B336">
        <v>3865.8104464278967</v>
      </c>
      <c r="C336">
        <v>-480.41129642789656</v>
      </c>
    </row>
    <row r="337" spans="1:3" x14ac:dyDescent="0.25">
      <c r="A337">
        <v>310</v>
      </c>
      <c r="B337">
        <v>5531.7722081757447</v>
      </c>
      <c r="C337">
        <v>-2041.2231081757445</v>
      </c>
    </row>
    <row r="338" spans="1:3" x14ac:dyDescent="0.25">
      <c r="A338">
        <v>311</v>
      </c>
      <c r="B338">
        <v>5178.116419453575</v>
      </c>
      <c r="C338">
        <v>-1196.1396194535751</v>
      </c>
    </row>
    <row r="339" spans="1:3" x14ac:dyDescent="0.25">
      <c r="A339">
        <v>312</v>
      </c>
      <c r="B339">
        <v>4704.6141038398173</v>
      </c>
      <c r="C339">
        <v>-1311.6373038398174</v>
      </c>
    </row>
    <row r="340" spans="1:3" x14ac:dyDescent="0.25">
      <c r="A340">
        <v>313</v>
      </c>
      <c r="B340">
        <v>6035.0026579907926</v>
      </c>
      <c r="C340">
        <v>18636.660682009206</v>
      </c>
    </row>
    <row r="341" spans="1:3" x14ac:dyDescent="0.25">
      <c r="A341">
        <v>314</v>
      </c>
      <c r="B341">
        <v>29948.633443402126</v>
      </c>
      <c r="C341">
        <v>6136.5855565978709</v>
      </c>
    </row>
    <row r="342" spans="1:3" x14ac:dyDescent="0.25">
      <c r="A342">
        <v>315</v>
      </c>
      <c r="B342">
        <v>1878.3780362044135</v>
      </c>
      <c r="C342">
        <v>1298.4378637955865</v>
      </c>
    </row>
    <row r="343" spans="1:3" x14ac:dyDescent="0.25">
      <c r="A343">
        <v>316</v>
      </c>
      <c r="B343">
        <v>24893.957167683937</v>
      </c>
      <c r="C343">
        <v>-10438.313117683936</v>
      </c>
    </row>
    <row r="344" spans="1:3" x14ac:dyDescent="0.25">
      <c r="A344">
        <v>317</v>
      </c>
      <c r="B344">
        <v>4079.8416290673485</v>
      </c>
      <c r="C344">
        <v>-1182.5181290673486</v>
      </c>
    </row>
    <row r="345" spans="1:3" x14ac:dyDescent="0.25">
      <c r="A345">
        <v>318</v>
      </c>
      <c r="B345">
        <v>8721.3196066072778</v>
      </c>
      <c r="C345">
        <v>-5310.9956066072773</v>
      </c>
    </row>
    <row r="346" spans="1:3" x14ac:dyDescent="0.25">
      <c r="A346">
        <v>319</v>
      </c>
      <c r="B346">
        <v>7534.9164345327899</v>
      </c>
      <c r="C346">
        <v>-4333.6712845327893</v>
      </c>
    </row>
    <row r="347" spans="1:3" x14ac:dyDescent="0.25">
      <c r="A347">
        <v>320</v>
      </c>
      <c r="B347">
        <v>3176.2006961191496</v>
      </c>
      <c r="C347">
        <v>308.13030388085053</v>
      </c>
    </row>
    <row r="348" spans="1:3" x14ac:dyDescent="0.25">
      <c r="A348">
        <v>321</v>
      </c>
      <c r="B348">
        <v>288.43210802562771</v>
      </c>
      <c r="C348">
        <v>2392.5171919743725</v>
      </c>
    </row>
    <row r="349" spans="1:3" x14ac:dyDescent="0.25">
      <c r="A349">
        <v>322</v>
      </c>
      <c r="B349">
        <v>4562.9994867550658</v>
      </c>
      <c r="C349">
        <v>-1170.6342867550657</v>
      </c>
    </row>
    <row r="350" spans="1:3" x14ac:dyDescent="0.25">
      <c r="A350">
        <v>323</v>
      </c>
      <c r="B350">
        <v>4797.1032615218501</v>
      </c>
      <c r="C350">
        <v>-135.81691152184976</v>
      </c>
    </row>
    <row r="351" spans="1:3" x14ac:dyDescent="0.25">
      <c r="A351">
        <v>324</v>
      </c>
      <c r="B351">
        <v>4996.2703770606558</v>
      </c>
      <c r="C351">
        <v>-432.07892706065559</v>
      </c>
    </row>
    <row r="352" spans="1:3" x14ac:dyDescent="0.25">
      <c r="A352">
        <v>325</v>
      </c>
      <c r="B352">
        <v>10050.565898789138</v>
      </c>
      <c r="C352">
        <v>-7123.5011987891385</v>
      </c>
    </row>
    <row r="353" spans="1:3" x14ac:dyDescent="0.25">
      <c r="A353">
        <v>326</v>
      </c>
      <c r="B353">
        <v>6001.2945017854381</v>
      </c>
      <c r="C353">
        <v>-3678.6727017854382</v>
      </c>
    </row>
    <row r="354" spans="1:3" x14ac:dyDescent="0.25">
      <c r="A354">
        <v>327</v>
      </c>
      <c r="B354">
        <v>4456.7885239415036</v>
      </c>
      <c r="C354">
        <v>-1553.8820239415036</v>
      </c>
    </row>
    <row r="355" spans="1:3" x14ac:dyDescent="0.25">
      <c r="A355">
        <v>328</v>
      </c>
      <c r="B355">
        <v>1447.4779108905616</v>
      </c>
      <c r="C355">
        <v>1931.4320891094383</v>
      </c>
    </row>
    <row r="356" spans="1:3" x14ac:dyDescent="0.25">
      <c r="A356">
        <v>329</v>
      </c>
      <c r="B356">
        <v>6555.6404220052364</v>
      </c>
      <c r="C356">
        <v>-2567.7144220052364</v>
      </c>
    </row>
    <row r="357" spans="1:3" x14ac:dyDescent="0.25">
      <c r="A357">
        <v>330</v>
      </c>
      <c r="B357">
        <v>4730.3622160370442</v>
      </c>
      <c r="C357">
        <v>-1826.274216037044</v>
      </c>
    </row>
    <row r="358" spans="1:3" x14ac:dyDescent="0.25">
      <c r="A358">
        <v>331</v>
      </c>
      <c r="B358">
        <v>1756.0745032675841</v>
      </c>
      <c r="C358">
        <v>1420.2131967324158</v>
      </c>
    </row>
    <row r="359" spans="1:3" x14ac:dyDescent="0.25">
      <c r="A359">
        <v>332</v>
      </c>
      <c r="B359">
        <v>4599.6316440488772</v>
      </c>
      <c r="C359">
        <v>-1900.0632940488772</v>
      </c>
    </row>
    <row r="360" spans="1:3" x14ac:dyDescent="0.25">
      <c r="A360">
        <v>333</v>
      </c>
      <c r="B360">
        <v>5990.4104566888554</v>
      </c>
      <c r="C360">
        <v>-2697.8806066888556</v>
      </c>
    </row>
    <row r="361" spans="1:3" x14ac:dyDescent="0.25">
      <c r="A361">
        <v>334</v>
      </c>
      <c r="B361">
        <v>27122.016621777017</v>
      </c>
      <c r="C361">
        <v>-10078.675221777015</v>
      </c>
    </row>
    <row r="362" spans="1:3" x14ac:dyDescent="0.25">
      <c r="A362">
        <v>335</v>
      </c>
      <c r="B362">
        <v>32230.166764206286</v>
      </c>
      <c r="C362">
        <v>7381.5909357937162</v>
      </c>
    </row>
    <row r="363" spans="1:3" x14ac:dyDescent="0.25">
      <c r="A363">
        <v>336</v>
      </c>
      <c r="B363">
        <v>26636.38938935865</v>
      </c>
      <c r="C363">
        <v>-10058.60988935865</v>
      </c>
    </row>
    <row r="364" spans="1:3" x14ac:dyDescent="0.25">
      <c r="A364">
        <v>337</v>
      </c>
      <c r="B364">
        <v>2364.2750441881681</v>
      </c>
      <c r="C364">
        <v>2463.629905811832</v>
      </c>
    </row>
    <row r="365" spans="1:3" x14ac:dyDescent="0.25">
      <c r="A365">
        <v>338</v>
      </c>
      <c r="B365">
        <v>30282.965779290971</v>
      </c>
      <c r="C365">
        <v>6850.9324207090322</v>
      </c>
    </row>
    <row r="366" spans="1:3" x14ac:dyDescent="0.25">
      <c r="A366">
        <v>339</v>
      </c>
      <c r="B366">
        <v>2293.9347306890049</v>
      </c>
      <c r="C366">
        <v>189.80126931099494</v>
      </c>
    </row>
    <row r="367" spans="1:3" x14ac:dyDescent="0.25">
      <c r="A367">
        <v>340</v>
      </c>
      <c r="B367">
        <v>6031.771775280733</v>
      </c>
      <c r="C367">
        <v>-1771.0277752807333</v>
      </c>
    </row>
    <row r="368" spans="1:3" x14ac:dyDescent="0.25">
      <c r="A368">
        <v>341</v>
      </c>
      <c r="B368">
        <v>28776.701215753172</v>
      </c>
      <c r="C368">
        <v>6062.1717842468279</v>
      </c>
    </row>
    <row r="369" spans="1:3" x14ac:dyDescent="0.25">
      <c r="A369">
        <v>342</v>
      </c>
      <c r="B369">
        <v>2802.8407005739496</v>
      </c>
      <c r="C369">
        <v>759.04819942605036</v>
      </c>
    </row>
    <row r="370" spans="1:3" x14ac:dyDescent="0.25">
      <c r="A370">
        <v>343</v>
      </c>
      <c r="B370">
        <v>25396.41374083417</v>
      </c>
      <c r="C370">
        <v>-10389.834290834171</v>
      </c>
    </row>
    <row r="371" spans="1:3" x14ac:dyDescent="0.25">
      <c r="A371">
        <v>344</v>
      </c>
      <c r="B371">
        <v>6063.9569155272675</v>
      </c>
      <c r="C371">
        <v>12740.795484472734</v>
      </c>
    </row>
    <row r="372" spans="1:3" x14ac:dyDescent="0.25">
      <c r="A372">
        <v>345</v>
      </c>
      <c r="B372">
        <v>5374.052652282322</v>
      </c>
      <c r="C372">
        <v>-2877.0143522823219</v>
      </c>
    </row>
    <row r="373" spans="1:3" x14ac:dyDescent="0.25">
      <c r="A373">
        <v>346</v>
      </c>
      <c r="B373">
        <v>5692.6855407230087</v>
      </c>
      <c r="C373">
        <v>-3194.2711407230086</v>
      </c>
    </row>
    <row r="374" spans="1:3" x14ac:dyDescent="0.25">
      <c r="A374">
        <v>347</v>
      </c>
      <c r="B374">
        <v>4675.6351089325308</v>
      </c>
      <c r="C374">
        <v>-2181.6131089325308</v>
      </c>
    </row>
    <row r="375" spans="1:3" x14ac:dyDescent="0.25">
      <c r="A375">
        <v>348</v>
      </c>
      <c r="B375">
        <v>2961.7763908045881</v>
      </c>
      <c r="C375">
        <v>596.84385919541182</v>
      </c>
    </row>
    <row r="376" spans="1:3" x14ac:dyDescent="0.25">
      <c r="A376">
        <v>349</v>
      </c>
      <c r="B376">
        <v>6477.1552137055269</v>
      </c>
      <c r="C376">
        <v>-2418.4427637055269</v>
      </c>
    </row>
    <row r="377" spans="1:3" x14ac:dyDescent="0.25">
      <c r="A377">
        <v>350</v>
      </c>
      <c r="B377">
        <v>29163.303652701285</v>
      </c>
      <c r="C377">
        <v>5643.1640472987165</v>
      </c>
    </row>
    <row r="378" spans="1:3" x14ac:dyDescent="0.25">
      <c r="A378">
        <v>351</v>
      </c>
      <c r="B378">
        <v>6533.0984551472548</v>
      </c>
      <c r="C378">
        <v>-2955.099455147255</v>
      </c>
    </row>
    <row r="379" spans="1:3" x14ac:dyDescent="0.25">
      <c r="A379">
        <v>352</v>
      </c>
      <c r="B379">
        <v>28052.535560206154</v>
      </c>
      <c r="C379">
        <v>-9806.0400602061527</v>
      </c>
    </row>
    <row r="380" spans="1:3" x14ac:dyDescent="0.25">
      <c r="A380">
        <v>353</v>
      </c>
      <c r="B380">
        <v>3236.9593399124551</v>
      </c>
      <c r="C380">
        <v>-166.15063991245506</v>
      </c>
    </row>
    <row r="381" spans="1:3" x14ac:dyDescent="0.25">
      <c r="A381">
        <v>354</v>
      </c>
      <c r="B381">
        <v>27843.33214860368</v>
      </c>
      <c r="C381">
        <v>-9532.5901486036819</v>
      </c>
    </row>
    <row r="382" spans="1:3" x14ac:dyDescent="0.25">
      <c r="A382">
        <v>355</v>
      </c>
      <c r="B382">
        <v>2615.7861331543463</v>
      </c>
      <c r="C382">
        <v>358.33986684565389</v>
      </c>
    </row>
    <row r="383" spans="1:3" x14ac:dyDescent="0.25">
      <c r="A383">
        <v>356</v>
      </c>
      <c r="B383">
        <v>6767.202229914039</v>
      </c>
      <c r="C383">
        <v>-1920.2820799140391</v>
      </c>
    </row>
    <row r="384" spans="1:3" x14ac:dyDescent="0.25">
      <c r="A384">
        <v>357</v>
      </c>
      <c r="B384">
        <v>5178.1040507681673</v>
      </c>
      <c r="C384">
        <v>11618.307889231834</v>
      </c>
    </row>
    <row r="385" spans="1:3" x14ac:dyDescent="0.25">
      <c r="A385">
        <v>358</v>
      </c>
      <c r="B385">
        <v>26542.585487600492</v>
      </c>
      <c r="C385">
        <v>-10122.090937600493</v>
      </c>
    </row>
    <row r="386" spans="1:3" x14ac:dyDescent="0.25">
      <c r="A386">
        <v>359</v>
      </c>
      <c r="B386">
        <v>1769.3169446704969</v>
      </c>
      <c r="C386">
        <v>1584.153355329503</v>
      </c>
    </row>
    <row r="387" spans="1:3" x14ac:dyDescent="0.25">
      <c r="A387">
        <v>360</v>
      </c>
      <c r="B387">
        <v>5759.0458322181103</v>
      </c>
      <c r="C387">
        <v>13144.445577781888</v>
      </c>
    </row>
    <row r="388" spans="1:3" x14ac:dyDescent="0.25">
      <c r="A388">
        <v>361</v>
      </c>
      <c r="B388">
        <v>10579.151338126301</v>
      </c>
      <c r="C388">
        <v>-6885.7233381263013</v>
      </c>
    </row>
    <row r="389" spans="1:3" x14ac:dyDescent="0.25">
      <c r="A389">
        <v>362</v>
      </c>
      <c r="B389">
        <v>5392.1352334076191</v>
      </c>
      <c r="C389">
        <v>-1436.0637834076192</v>
      </c>
    </row>
    <row r="390" spans="1:3" x14ac:dyDescent="0.25">
      <c r="A390">
        <v>363</v>
      </c>
      <c r="B390">
        <v>7158.620069213729</v>
      </c>
      <c r="C390">
        <v>-2709.1580692137286</v>
      </c>
    </row>
    <row r="391" spans="1:3" x14ac:dyDescent="0.25">
      <c r="A391">
        <v>364</v>
      </c>
      <c r="B391">
        <v>31117.310050970209</v>
      </c>
      <c r="C391">
        <v>20077.249089029789</v>
      </c>
    </row>
    <row r="392" spans="1:3" x14ac:dyDescent="0.25">
      <c r="A392">
        <v>365</v>
      </c>
      <c r="B392">
        <v>6307.7901047361129</v>
      </c>
      <c r="C392">
        <v>-2750.8678047361127</v>
      </c>
    </row>
    <row r="393" spans="1:3" x14ac:dyDescent="0.25">
      <c r="A393">
        <v>366</v>
      </c>
      <c r="B393">
        <v>3937.735279568577</v>
      </c>
      <c r="C393">
        <v>195.9063704314226</v>
      </c>
    </row>
    <row r="394" spans="1:3" x14ac:dyDescent="0.25">
      <c r="A394">
        <v>367</v>
      </c>
      <c r="B394">
        <v>28066.920263578184</v>
      </c>
      <c r="C394">
        <v>-10403.776063578185</v>
      </c>
    </row>
    <row r="395" spans="1:3" x14ac:dyDescent="0.25">
      <c r="A395">
        <v>368</v>
      </c>
      <c r="B395">
        <v>7698.5689173760911</v>
      </c>
      <c r="C395">
        <v>-3931.6851173760911</v>
      </c>
    </row>
    <row r="396" spans="1:3" x14ac:dyDescent="0.25">
      <c r="A396">
        <v>369</v>
      </c>
      <c r="B396">
        <v>4885.587659829007</v>
      </c>
      <c r="C396">
        <v>-547.85245982900688</v>
      </c>
    </row>
    <row r="397" spans="1:3" x14ac:dyDescent="0.25">
      <c r="A397">
        <v>370</v>
      </c>
      <c r="B397">
        <v>7366.6812188470858</v>
      </c>
      <c r="C397">
        <v>-4677.185818847086</v>
      </c>
    </row>
    <row r="398" spans="1:3" x14ac:dyDescent="0.25">
      <c r="A398">
        <v>371</v>
      </c>
      <c r="B398">
        <v>5866.853683358594</v>
      </c>
      <c r="C398">
        <v>-2694.835683358594</v>
      </c>
    </row>
    <row r="399" spans="1:3" x14ac:dyDescent="0.25">
      <c r="A399">
        <v>372</v>
      </c>
      <c r="B399">
        <v>6685.1177535999723</v>
      </c>
      <c r="C399">
        <v>-2335.6557535999718</v>
      </c>
    </row>
    <row r="400" spans="1:3" x14ac:dyDescent="0.25">
      <c r="A400">
        <v>373</v>
      </c>
      <c r="B400">
        <v>4914.9350400405947</v>
      </c>
      <c r="C400">
        <v>15262.736089959404</v>
      </c>
    </row>
    <row r="401" spans="1:3" x14ac:dyDescent="0.25">
      <c r="A401">
        <v>374</v>
      </c>
      <c r="B401">
        <v>3417.945264587052</v>
      </c>
      <c r="C401">
        <v>19870.983135412949</v>
      </c>
    </row>
    <row r="402" spans="1:3" x14ac:dyDescent="0.25">
      <c r="A402">
        <v>375</v>
      </c>
      <c r="B402">
        <v>6521.8212873755647</v>
      </c>
      <c r="C402">
        <v>-3252.9746373755647</v>
      </c>
    </row>
    <row r="403" spans="1:3" x14ac:dyDescent="0.25">
      <c r="A403">
        <v>376</v>
      </c>
      <c r="B403">
        <v>3724.0848509188313</v>
      </c>
      <c r="C403">
        <v>123.58914908116867</v>
      </c>
    </row>
    <row r="404" spans="1:3" x14ac:dyDescent="0.25">
      <c r="A404">
        <v>377</v>
      </c>
      <c r="B404">
        <v>4747.5723107586164</v>
      </c>
      <c r="C404">
        <v>-312.47811075861682</v>
      </c>
    </row>
    <row r="405" spans="1:3" x14ac:dyDescent="0.25">
      <c r="A405">
        <v>378</v>
      </c>
      <c r="B405">
        <v>5054.1788921336074</v>
      </c>
      <c r="C405">
        <v>-1991.6706421336075</v>
      </c>
    </row>
    <row r="406" spans="1:3" x14ac:dyDescent="0.25">
      <c r="A406">
        <v>379</v>
      </c>
      <c r="B406">
        <v>3310.5057987508667</v>
      </c>
      <c r="C406">
        <v>1118.3820512491334</v>
      </c>
    </row>
    <row r="407" spans="1:3" x14ac:dyDescent="0.25">
      <c r="A407">
        <v>380</v>
      </c>
      <c r="B407">
        <v>3738.5681640297703</v>
      </c>
      <c r="C407">
        <v>981.16838597022934</v>
      </c>
    </row>
    <row r="408" spans="1:3" x14ac:dyDescent="0.25">
      <c r="A408">
        <v>381</v>
      </c>
      <c r="B408">
        <v>5481.393508379595</v>
      </c>
      <c r="C408">
        <v>-1043.1301083795952</v>
      </c>
    </row>
    <row r="409" spans="1:3" x14ac:dyDescent="0.25">
      <c r="A409">
        <v>382</v>
      </c>
      <c r="B409">
        <v>3420.7830246219992</v>
      </c>
      <c r="C409">
        <v>-259.329024621999</v>
      </c>
    </row>
    <row r="410" spans="1:3" x14ac:dyDescent="0.25">
      <c r="A410">
        <v>383</v>
      </c>
      <c r="B410">
        <v>29124.66911572004</v>
      </c>
      <c r="C410">
        <v>5547.4780842799591</v>
      </c>
    </row>
    <row r="411" spans="1:3" x14ac:dyDescent="0.25">
      <c r="A411">
        <v>384</v>
      </c>
      <c r="B411">
        <v>5007.0434437329213</v>
      </c>
      <c r="C411">
        <v>305.12640626707889</v>
      </c>
    </row>
    <row r="412" spans="1:3" x14ac:dyDescent="0.25">
      <c r="A412">
        <v>385</v>
      </c>
      <c r="B412">
        <v>6002.0312723940378</v>
      </c>
      <c r="C412">
        <v>13671.304457605962</v>
      </c>
    </row>
    <row r="413" spans="1:3" x14ac:dyDescent="0.25">
      <c r="A413">
        <v>386</v>
      </c>
      <c r="B413">
        <v>5773.5167766436452</v>
      </c>
      <c r="C413">
        <v>-2601.9018766436452</v>
      </c>
    </row>
    <row r="414" spans="1:3" x14ac:dyDescent="0.25">
      <c r="A414">
        <v>387</v>
      </c>
      <c r="B414">
        <v>5305.5174989927727</v>
      </c>
      <c r="C414">
        <v>309.85150100722694</v>
      </c>
    </row>
    <row r="415" spans="1:3" x14ac:dyDescent="0.25">
      <c r="A415">
        <v>388</v>
      </c>
      <c r="B415">
        <v>7531.2061880941146</v>
      </c>
      <c r="C415">
        <v>-4254.0451880941146</v>
      </c>
    </row>
    <row r="416" spans="1:3" x14ac:dyDescent="0.25">
      <c r="A416">
        <v>389</v>
      </c>
      <c r="B416">
        <v>681.82758964194363</v>
      </c>
      <c r="C416">
        <v>3050.7975103580566</v>
      </c>
    </row>
    <row r="417" spans="1:3" x14ac:dyDescent="0.25">
      <c r="A417">
        <v>390</v>
      </c>
      <c r="B417">
        <v>4596.3021515999062</v>
      </c>
      <c r="C417">
        <v>-255.86125159990661</v>
      </c>
    </row>
    <row r="418" spans="1:3" x14ac:dyDescent="0.25">
      <c r="A418">
        <v>391</v>
      </c>
      <c r="B418">
        <v>5371.9516628559732</v>
      </c>
      <c r="C418">
        <v>-1424.5385628559729</v>
      </c>
    </row>
    <row r="419" spans="1:3" x14ac:dyDescent="0.25">
      <c r="A419">
        <v>392</v>
      </c>
      <c r="B419">
        <v>4367.3945331744035</v>
      </c>
      <c r="C419">
        <v>-1500.2749331744035</v>
      </c>
    </row>
    <row r="420" spans="1:3" x14ac:dyDescent="0.25">
      <c r="A420">
        <v>393</v>
      </c>
      <c r="B420">
        <v>28652.296693389995</v>
      </c>
      <c r="C420">
        <v>-9544.5170933899935</v>
      </c>
    </row>
    <row r="421" spans="1:3" x14ac:dyDescent="0.25">
      <c r="A421">
        <v>394</v>
      </c>
      <c r="B421">
        <v>5892.1224318272061</v>
      </c>
      <c r="C421">
        <v>12265.753568172793</v>
      </c>
    </row>
    <row r="422" spans="1:3" x14ac:dyDescent="0.25">
      <c r="A422">
        <v>395</v>
      </c>
      <c r="B422">
        <v>9292.8632528632425</v>
      </c>
      <c r="C422">
        <v>-4154.6065528632425</v>
      </c>
    </row>
    <row r="423" spans="1:3" x14ac:dyDescent="0.25">
      <c r="A423">
        <v>396</v>
      </c>
      <c r="B423">
        <v>6656.5195126823919</v>
      </c>
      <c r="C423">
        <v>-1733.6036126823919</v>
      </c>
    </row>
    <row r="424" spans="1:3" x14ac:dyDescent="0.25">
      <c r="A424">
        <v>397</v>
      </c>
      <c r="B424">
        <v>5174.0130503397895</v>
      </c>
      <c r="C424">
        <v>-1133.4548003397895</v>
      </c>
    </row>
    <row r="425" spans="1:3" x14ac:dyDescent="0.25">
      <c r="A425">
        <v>398</v>
      </c>
      <c r="B425">
        <v>5388.0442329792413</v>
      </c>
      <c r="C425">
        <v>14889.763277020757</v>
      </c>
    </row>
    <row r="426" spans="1:3" x14ac:dyDescent="0.25">
      <c r="A426">
        <v>399</v>
      </c>
      <c r="B426">
        <v>7054.0059947270884</v>
      </c>
      <c r="C426">
        <v>12388.347505272912</v>
      </c>
    </row>
    <row r="427" spans="1:3" x14ac:dyDescent="0.25">
      <c r="A427">
        <v>400</v>
      </c>
      <c r="B427">
        <v>4129.2244953500503</v>
      </c>
      <c r="C427">
        <v>-1263.1334953500505</v>
      </c>
    </row>
    <row r="428" spans="1:3" x14ac:dyDescent="0.25">
      <c r="A428">
        <v>401</v>
      </c>
      <c r="B428">
        <v>2834.5341084064617</v>
      </c>
      <c r="C428">
        <v>2071.8755415935379</v>
      </c>
    </row>
    <row r="429" spans="1:3" x14ac:dyDescent="0.25">
      <c r="A429">
        <v>402</v>
      </c>
      <c r="B429">
        <v>30257.954437702341</v>
      </c>
      <c r="C429">
        <v>5939.7445622976593</v>
      </c>
    </row>
    <row r="430" spans="1:3" x14ac:dyDescent="0.25">
      <c r="A430">
        <v>403</v>
      </c>
      <c r="B430">
        <v>3752.6583544656023</v>
      </c>
      <c r="C430">
        <v>-16.193654465602322</v>
      </c>
    </row>
    <row r="431" spans="1:3" x14ac:dyDescent="0.25">
      <c r="A431">
        <v>404</v>
      </c>
      <c r="B431">
        <v>6810.2466778863454</v>
      </c>
      <c r="C431">
        <v>-3443.5769778863455</v>
      </c>
    </row>
    <row r="432" spans="1:3" x14ac:dyDescent="0.25">
      <c r="A432">
        <v>405</v>
      </c>
      <c r="B432">
        <v>5403.7560491128024</v>
      </c>
      <c r="C432">
        <v>-1460.1606491128023</v>
      </c>
    </row>
    <row r="433" spans="1:3" x14ac:dyDescent="0.25">
      <c r="A433">
        <v>406</v>
      </c>
      <c r="B433">
        <v>26661.645769141858</v>
      </c>
      <c r="C433">
        <v>-10003.928319141858</v>
      </c>
    </row>
    <row r="434" spans="1:3" x14ac:dyDescent="0.25">
      <c r="A434">
        <v>407</v>
      </c>
      <c r="B434">
        <v>31558.995611641734</v>
      </c>
      <c r="C434">
        <v>13026.460258358264</v>
      </c>
    </row>
    <row r="435" spans="1:3" x14ac:dyDescent="0.25">
      <c r="A435">
        <v>408</v>
      </c>
      <c r="B435">
        <v>4041.8576216411975</v>
      </c>
      <c r="C435">
        <v>1167.7212283588024</v>
      </c>
    </row>
    <row r="436" spans="1:3" x14ac:dyDescent="0.25">
      <c r="A436">
        <v>409</v>
      </c>
      <c r="B436">
        <v>3710.8176721451073</v>
      </c>
      <c r="C436">
        <v>-357.53367214510718</v>
      </c>
    </row>
    <row r="437" spans="1:3" x14ac:dyDescent="0.25">
      <c r="A437">
        <v>410</v>
      </c>
      <c r="B437">
        <v>26555.05405233859</v>
      </c>
      <c r="C437">
        <v>-10416.29200233859</v>
      </c>
    </row>
    <row r="438" spans="1:3" x14ac:dyDescent="0.25">
      <c r="A438">
        <v>411</v>
      </c>
      <c r="B438">
        <v>6534.2159797455633</v>
      </c>
      <c r="C438">
        <v>-2100.8282797455631</v>
      </c>
    </row>
    <row r="439" spans="1:3" x14ac:dyDescent="0.25">
      <c r="A439">
        <v>412</v>
      </c>
      <c r="B439">
        <v>5508.2715138605336</v>
      </c>
      <c r="C439">
        <v>200.59548613946663</v>
      </c>
    </row>
    <row r="440" spans="1:3" x14ac:dyDescent="0.25">
      <c r="A440">
        <v>413</v>
      </c>
      <c r="B440">
        <v>8381.2622759069163</v>
      </c>
      <c r="C440">
        <v>-4909.8526759069164</v>
      </c>
    </row>
    <row r="441" spans="1:3" x14ac:dyDescent="0.25">
      <c r="A441">
        <v>414</v>
      </c>
      <c r="B441">
        <v>4239.4154801676787</v>
      </c>
      <c r="C441">
        <v>290.06151983232121</v>
      </c>
    </row>
    <row r="442" spans="1:3" x14ac:dyDescent="0.25">
      <c r="A442">
        <v>415</v>
      </c>
      <c r="B442">
        <v>6656.5195126823919</v>
      </c>
      <c r="C442">
        <v>-2222.6036126823919</v>
      </c>
    </row>
    <row r="443" spans="1:3" x14ac:dyDescent="0.25">
      <c r="A443">
        <v>416</v>
      </c>
      <c r="B443">
        <v>8323.7097774528593</v>
      </c>
      <c r="C443">
        <v>-4265.5936774528591</v>
      </c>
    </row>
    <row r="444" spans="1:3" x14ac:dyDescent="0.25">
      <c r="A444">
        <v>417</v>
      </c>
      <c r="B444">
        <v>26218.719336762308</v>
      </c>
      <c r="C444">
        <v>-10103.414836762307</v>
      </c>
    </row>
    <row r="445" spans="1:3" x14ac:dyDescent="0.25">
      <c r="A445">
        <v>418</v>
      </c>
      <c r="B445">
        <v>30805.470207197723</v>
      </c>
      <c r="C445">
        <v>6031.9967928022743</v>
      </c>
    </row>
    <row r="446" spans="1:3" x14ac:dyDescent="0.25">
      <c r="A446">
        <v>419</v>
      </c>
      <c r="B446">
        <v>6534.2036110601557</v>
      </c>
      <c r="C446">
        <v>-2384.4676110601558</v>
      </c>
    </row>
    <row r="447" spans="1:3" x14ac:dyDescent="0.25">
      <c r="A447">
        <v>420</v>
      </c>
      <c r="B447">
        <v>3827.0525623369304</v>
      </c>
      <c r="C447">
        <v>-181.96316233693051</v>
      </c>
    </row>
    <row r="448" spans="1:3" x14ac:dyDescent="0.25">
      <c r="A448">
        <v>421</v>
      </c>
      <c r="B448">
        <v>30098.539383743089</v>
      </c>
      <c r="C448">
        <v>-9352.5502837430904</v>
      </c>
    </row>
    <row r="449" spans="1:3" x14ac:dyDescent="0.25">
      <c r="A449">
        <v>422</v>
      </c>
      <c r="B449">
        <v>30879.496029764752</v>
      </c>
      <c r="C449">
        <v>6070.7606702352459</v>
      </c>
    </row>
    <row r="450" spans="1:3" x14ac:dyDescent="0.25">
      <c r="A450">
        <v>423</v>
      </c>
      <c r="B450">
        <v>6998.4311385896581</v>
      </c>
      <c r="C450">
        <v>-1672.7801385896582</v>
      </c>
    </row>
    <row r="451" spans="1:3" x14ac:dyDescent="0.25">
      <c r="A451">
        <v>424</v>
      </c>
      <c r="B451">
        <v>5003.8001923374568</v>
      </c>
      <c r="C451">
        <v>-766.67364233745684</v>
      </c>
    </row>
    <row r="452" spans="1:3" x14ac:dyDescent="0.25">
      <c r="A452">
        <v>425</v>
      </c>
      <c r="B452">
        <v>6833.5254153529231</v>
      </c>
      <c r="C452">
        <v>-2682.4967153529233</v>
      </c>
    </row>
    <row r="453" spans="1:3" x14ac:dyDescent="0.25">
      <c r="A453">
        <v>426</v>
      </c>
      <c r="B453">
        <v>4547.9997038592937</v>
      </c>
      <c r="C453">
        <v>-993.79670385929376</v>
      </c>
    </row>
    <row r="454" spans="1:3" x14ac:dyDescent="0.25">
      <c r="A454">
        <v>427</v>
      </c>
      <c r="B454">
        <v>3872.4925126717822</v>
      </c>
      <c r="C454">
        <v>159.74818732821768</v>
      </c>
    </row>
    <row r="455" spans="1:3" x14ac:dyDescent="0.25">
      <c r="A455">
        <v>428</v>
      </c>
      <c r="B455">
        <v>29051.760817751318</v>
      </c>
      <c r="C455">
        <v>-9529.7926177513182</v>
      </c>
    </row>
    <row r="456" spans="1:3" x14ac:dyDescent="0.25">
      <c r="A456">
        <v>429</v>
      </c>
      <c r="B456">
        <v>10457.952961102372</v>
      </c>
      <c r="C456">
        <v>-5704.3161611023716</v>
      </c>
    </row>
    <row r="457" spans="1:3" x14ac:dyDescent="0.25">
      <c r="A457">
        <v>430</v>
      </c>
      <c r="B457">
        <v>32557.103344588591</v>
      </c>
      <c r="C457">
        <v>6684.3386554114113</v>
      </c>
    </row>
    <row r="458" spans="1:3" x14ac:dyDescent="0.25">
      <c r="A458">
        <v>431</v>
      </c>
      <c r="B458">
        <v>6212.3522085948143</v>
      </c>
      <c r="C458">
        <v>-2553.0062085948143</v>
      </c>
    </row>
    <row r="459" spans="1:3" x14ac:dyDescent="0.25">
      <c r="A459">
        <v>432</v>
      </c>
      <c r="B459">
        <v>7214.0715782414372</v>
      </c>
      <c r="C459">
        <v>-2376.4892782414372</v>
      </c>
    </row>
    <row r="460" spans="1:3" x14ac:dyDescent="0.25">
      <c r="A460">
        <v>433</v>
      </c>
      <c r="B460">
        <v>33432.919913284022</v>
      </c>
      <c r="C460">
        <v>7499.5095867159762</v>
      </c>
    </row>
    <row r="461" spans="1:3" x14ac:dyDescent="0.25">
      <c r="A461">
        <v>434</v>
      </c>
      <c r="B461">
        <v>9100.1207966883376</v>
      </c>
      <c r="C461">
        <v>-3671.3930966883372</v>
      </c>
    </row>
    <row r="462" spans="1:3" x14ac:dyDescent="0.25">
      <c r="A462">
        <v>435</v>
      </c>
      <c r="B462">
        <v>28717.796867166773</v>
      </c>
      <c r="C462">
        <v>-10458.580867166773</v>
      </c>
    </row>
    <row r="463" spans="1:3" x14ac:dyDescent="0.25">
      <c r="A463">
        <v>436</v>
      </c>
      <c r="B463">
        <v>10811.989503814248</v>
      </c>
      <c r="C463">
        <v>-6545.8237038142479</v>
      </c>
    </row>
    <row r="464" spans="1:3" x14ac:dyDescent="0.25">
      <c r="A464">
        <v>437</v>
      </c>
      <c r="B464">
        <v>3475.0060306270857</v>
      </c>
      <c r="C464">
        <v>1244.5180193729143</v>
      </c>
    </row>
    <row r="465" spans="1:3" x14ac:dyDescent="0.25">
      <c r="A465">
        <v>438</v>
      </c>
      <c r="B465">
        <v>5248.4072582111176</v>
      </c>
      <c r="C465">
        <v>-721.2243082111172</v>
      </c>
    </row>
    <row r="466" spans="1:3" x14ac:dyDescent="0.25">
      <c r="A466">
        <v>439</v>
      </c>
      <c r="B466">
        <v>27790.484074076885</v>
      </c>
      <c r="C466">
        <v>-10428.717974076884</v>
      </c>
    </row>
    <row r="467" spans="1:3" x14ac:dyDescent="0.25">
      <c r="A467">
        <v>440</v>
      </c>
      <c r="B467">
        <v>4622.0255264263233</v>
      </c>
      <c r="C467">
        <v>-484.50282642632283</v>
      </c>
    </row>
    <row r="468" spans="1:3" x14ac:dyDescent="0.25">
      <c r="A468">
        <v>441</v>
      </c>
      <c r="B468">
        <v>3474.1582815941692</v>
      </c>
      <c r="C468">
        <v>2219.2722184058312</v>
      </c>
    </row>
    <row r="469" spans="1:3" x14ac:dyDescent="0.25">
      <c r="A469">
        <v>442</v>
      </c>
      <c r="B469">
        <v>8603.7081289123016</v>
      </c>
      <c r="C469">
        <v>10359.463791087699</v>
      </c>
    </row>
    <row r="470" spans="1:3" x14ac:dyDescent="0.25">
      <c r="A470">
        <v>443</v>
      </c>
      <c r="B470">
        <v>3169.2471982850116</v>
      </c>
      <c r="C470">
        <v>1548.9563517149886</v>
      </c>
    </row>
    <row r="471" spans="1:3" x14ac:dyDescent="0.25">
      <c r="A471">
        <v>444</v>
      </c>
      <c r="B471">
        <v>28478.017572330093</v>
      </c>
      <c r="C471">
        <v>-9712.1421223300931</v>
      </c>
    </row>
    <row r="472" spans="1:3" x14ac:dyDescent="0.25">
      <c r="A472">
        <v>445</v>
      </c>
      <c r="B472">
        <v>4175.020462303798</v>
      </c>
      <c r="C472">
        <v>-418.39886230379807</v>
      </c>
    </row>
    <row r="473" spans="1:3" x14ac:dyDescent="0.25">
      <c r="A473">
        <v>446</v>
      </c>
      <c r="B473">
        <v>32332.175748167152</v>
      </c>
      <c r="C473">
        <v>6378.8242518328479</v>
      </c>
    </row>
    <row r="474" spans="1:3" x14ac:dyDescent="0.25">
      <c r="A474">
        <v>447</v>
      </c>
      <c r="B474">
        <v>8626.986866378882</v>
      </c>
      <c r="C474">
        <v>-3677.2281663788817</v>
      </c>
    </row>
    <row r="475" spans="1:3" x14ac:dyDescent="0.25">
      <c r="A475">
        <v>448</v>
      </c>
      <c r="B475">
        <v>7430.8419111769272</v>
      </c>
      <c r="C475">
        <v>-631.38391117692754</v>
      </c>
    </row>
    <row r="476" spans="1:3" x14ac:dyDescent="0.25">
      <c r="A476">
        <v>449</v>
      </c>
      <c r="B476">
        <v>5017.0426337403715</v>
      </c>
      <c r="C476">
        <v>-575.82948374037187</v>
      </c>
    </row>
    <row r="477" spans="1:3" x14ac:dyDescent="0.25">
      <c r="A477">
        <v>450</v>
      </c>
      <c r="B477">
        <v>9193.4453347178805</v>
      </c>
      <c r="C477">
        <v>-4730.2402347178804</v>
      </c>
    </row>
    <row r="478" spans="1:3" x14ac:dyDescent="0.25">
      <c r="A478">
        <v>451</v>
      </c>
      <c r="B478">
        <v>32190.941885072109</v>
      </c>
      <c r="C478">
        <v>6555.4132149278921</v>
      </c>
    </row>
    <row r="479" spans="1:3" x14ac:dyDescent="0.25">
      <c r="A479">
        <v>452</v>
      </c>
      <c r="B479">
        <v>2456.3339731388751</v>
      </c>
      <c r="C479">
        <v>803.86502686112499</v>
      </c>
    </row>
    <row r="480" spans="1:3" x14ac:dyDescent="0.25">
      <c r="A480">
        <v>453</v>
      </c>
      <c r="B480">
        <v>5567.4085319561054</v>
      </c>
      <c r="C480">
        <v>-1323.8184819561056</v>
      </c>
    </row>
    <row r="481" spans="1:3" x14ac:dyDescent="0.25">
      <c r="A481">
        <v>454</v>
      </c>
      <c r="B481">
        <v>6882.1715110270252</v>
      </c>
      <c r="C481">
        <v>-2143.9033110270248</v>
      </c>
    </row>
    <row r="482" spans="1:3" x14ac:dyDescent="0.25">
      <c r="A482">
        <v>455</v>
      </c>
      <c r="B482">
        <v>5888.8791804317434</v>
      </c>
      <c r="C482">
        <v>-1541.855830431743</v>
      </c>
    </row>
    <row r="483" spans="1:3" x14ac:dyDescent="0.25">
      <c r="A483">
        <v>456</v>
      </c>
      <c r="B483">
        <v>4433.2630922554836</v>
      </c>
      <c r="C483">
        <v>498.38390774451636</v>
      </c>
    </row>
    <row r="484" spans="1:3" x14ac:dyDescent="0.25">
      <c r="A484">
        <v>457</v>
      </c>
      <c r="B484">
        <v>5827.7274139633273</v>
      </c>
      <c r="C484">
        <v>-1969.9681639633272</v>
      </c>
    </row>
    <row r="485" spans="1:3" x14ac:dyDescent="0.25">
      <c r="A485">
        <v>458</v>
      </c>
      <c r="B485">
        <v>5256.4411745873467</v>
      </c>
      <c r="C485">
        <v>-1495.1491745873468</v>
      </c>
    </row>
    <row r="486" spans="1:3" x14ac:dyDescent="0.25">
      <c r="A486">
        <v>459</v>
      </c>
      <c r="B486">
        <v>32436.396699978683</v>
      </c>
      <c r="C486">
        <v>26134.67778002132</v>
      </c>
    </row>
    <row r="487" spans="1:3" x14ac:dyDescent="0.25">
      <c r="A487">
        <v>460</v>
      </c>
      <c r="B487">
        <v>7125.9308278677681</v>
      </c>
      <c r="C487">
        <v>-1012.6997778677678</v>
      </c>
    </row>
    <row r="488" spans="1:3" x14ac:dyDescent="0.25">
      <c r="A488">
        <v>461</v>
      </c>
      <c r="B488">
        <v>4458.2496964732991</v>
      </c>
      <c r="C488">
        <v>-700.40489647329923</v>
      </c>
    </row>
    <row r="489" spans="1:3" x14ac:dyDescent="0.25">
      <c r="A489">
        <v>462</v>
      </c>
      <c r="B489">
        <v>5735.1520152277881</v>
      </c>
      <c r="C489">
        <v>-703.88246522778809</v>
      </c>
    </row>
    <row r="490" spans="1:3" x14ac:dyDescent="0.25">
      <c r="A490">
        <v>463</v>
      </c>
      <c r="B490">
        <v>5781.4397145955572</v>
      </c>
      <c r="C490">
        <v>-1430.9253145955572</v>
      </c>
    </row>
    <row r="491" spans="1:3" x14ac:dyDescent="0.25">
      <c r="A491">
        <v>464</v>
      </c>
      <c r="B491">
        <v>9073.9795618160024</v>
      </c>
      <c r="C491">
        <v>-5198.2454618160027</v>
      </c>
    </row>
    <row r="492" spans="1:3" x14ac:dyDescent="0.25">
      <c r="A492">
        <v>465</v>
      </c>
      <c r="B492">
        <v>29458.423478141358</v>
      </c>
      <c r="C492">
        <v>-10258.479478141358</v>
      </c>
    </row>
    <row r="493" spans="1:3" x14ac:dyDescent="0.25">
      <c r="A493">
        <v>466</v>
      </c>
      <c r="B493">
        <v>29296.355514939572</v>
      </c>
      <c r="C493">
        <v>-9945.9866149395712</v>
      </c>
    </row>
    <row r="494" spans="1:3" x14ac:dyDescent="0.25">
      <c r="A494">
        <v>467</v>
      </c>
      <c r="B494">
        <v>7386.24970987499</v>
      </c>
      <c r="C494">
        <v>-2058.8494598749903</v>
      </c>
    </row>
    <row r="495" spans="1:3" x14ac:dyDescent="0.25">
      <c r="A495">
        <v>468</v>
      </c>
      <c r="B495">
        <v>2892.4426234794128</v>
      </c>
      <c r="C495">
        <v>1241.6398265205871</v>
      </c>
    </row>
    <row r="496" spans="1:3" x14ac:dyDescent="0.25">
      <c r="A496">
        <v>469</v>
      </c>
      <c r="B496">
        <v>5141.3361776792335</v>
      </c>
      <c r="C496">
        <v>-206.63117767923359</v>
      </c>
    </row>
    <row r="497" spans="1:3" x14ac:dyDescent="0.25">
      <c r="A497">
        <v>470</v>
      </c>
      <c r="B497">
        <v>7309.3861272730146</v>
      </c>
      <c r="C497">
        <v>-1884.3627772730142</v>
      </c>
    </row>
    <row r="498" spans="1:3" x14ac:dyDescent="0.25">
      <c r="A498">
        <v>471</v>
      </c>
      <c r="B498">
        <v>4711.2838013982964</v>
      </c>
      <c r="C498">
        <v>-471.39115139829664</v>
      </c>
    </row>
    <row r="499" spans="1:3" x14ac:dyDescent="0.25">
      <c r="A499">
        <v>472</v>
      </c>
      <c r="B499">
        <v>5443.4833733215437</v>
      </c>
      <c r="C499">
        <v>-1576.6281733215437</v>
      </c>
    </row>
    <row r="500" spans="1:3" x14ac:dyDescent="0.25">
      <c r="A500">
        <v>473</v>
      </c>
      <c r="B500">
        <v>26624.509510748623</v>
      </c>
      <c r="C500">
        <v>6109.6767892513781</v>
      </c>
    </row>
    <row r="501" spans="1:3" x14ac:dyDescent="0.25">
      <c r="A501">
        <v>474</v>
      </c>
      <c r="B501">
        <v>9524.0921615388634</v>
      </c>
      <c r="C501">
        <v>-3189.7486115388638</v>
      </c>
    </row>
    <row r="502" spans="1:3" x14ac:dyDescent="0.25">
      <c r="A502">
        <v>475</v>
      </c>
      <c r="B502">
        <v>6686.5912948171726</v>
      </c>
      <c r="C502">
        <v>-1534.4572948171726</v>
      </c>
    </row>
    <row r="503" spans="1:3" x14ac:dyDescent="0.25">
      <c r="A503">
        <v>476</v>
      </c>
      <c r="B503">
        <v>8239.9050657021508</v>
      </c>
      <c r="C503">
        <v>-2111.1076157021507</v>
      </c>
    </row>
    <row r="504" spans="1:3" x14ac:dyDescent="0.25">
      <c r="A504">
        <v>477</v>
      </c>
      <c r="B504">
        <v>7481.9450128962708</v>
      </c>
      <c r="C504">
        <v>-2228.4210128962704</v>
      </c>
    </row>
    <row r="505" spans="1:3" x14ac:dyDescent="0.25">
      <c r="A505">
        <v>478</v>
      </c>
      <c r="B505">
        <v>8638.2392967797641</v>
      </c>
      <c r="C505">
        <v>-3970.6316467797642</v>
      </c>
    </row>
    <row r="506" spans="1:3" x14ac:dyDescent="0.25">
      <c r="A506">
        <v>479</v>
      </c>
      <c r="B506">
        <v>6287.1148017704445</v>
      </c>
      <c r="C506">
        <v>-2212.6611017704445</v>
      </c>
    </row>
    <row r="507" spans="1:3" x14ac:dyDescent="0.25">
      <c r="A507">
        <v>480</v>
      </c>
      <c r="B507">
        <v>12071.165258062334</v>
      </c>
      <c r="C507">
        <v>-7384.7765580623336</v>
      </c>
    </row>
    <row r="508" spans="1:3" x14ac:dyDescent="0.25">
      <c r="A508">
        <v>481</v>
      </c>
      <c r="B508">
        <v>10380.683887139881</v>
      </c>
      <c r="C508">
        <v>-6386.5060871398819</v>
      </c>
    </row>
    <row r="509" spans="1:3" x14ac:dyDescent="0.25">
      <c r="A509">
        <v>482</v>
      </c>
      <c r="B509">
        <v>5459.5759434448119</v>
      </c>
      <c r="C509">
        <v>-1486.6512434448118</v>
      </c>
    </row>
    <row r="510" spans="1:3" x14ac:dyDescent="0.25">
      <c r="A510">
        <v>483</v>
      </c>
      <c r="B510">
        <v>4233.7028540415649</v>
      </c>
      <c r="C510">
        <v>13392.536655958434</v>
      </c>
    </row>
    <row r="511" spans="1:3" x14ac:dyDescent="0.25">
      <c r="A511">
        <v>484</v>
      </c>
      <c r="B511">
        <v>6773.1104194931095</v>
      </c>
      <c r="C511">
        <v>-1624.5578194931095</v>
      </c>
    </row>
    <row r="512" spans="1:3" x14ac:dyDescent="0.25">
      <c r="A512">
        <v>485</v>
      </c>
      <c r="B512">
        <v>29744.478103660404</v>
      </c>
      <c r="C512">
        <v>-10024.783403660404</v>
      </c>
    </row>
    <row r="513" spans="1:3" x14ac:dyDescent="0.25">
      <c r="A513">
        <v>486</v>
      </c>
      <c r="B513">
        <v>27877.359215371718</v>
      </c>
      <c r="C513">
        <v>-10381.053215371718</v>
      </c>
    </row>
    <row r="514" spans="1:3" x14ac:dyDescent="0.25">
      <c r="A514">
        <v>487</v>
      </c>
      <c r="B514">
        <v>9061.8546450113918</v>
      </c>
      <c r="C514">
        <v>-4388.4624450113915</v>
      </c>
    </row>
    <row r="515" spans="1:3" x14ac:dyDescent="0.25">
      <c r="A515">
        <v>488</v>
      </c>
      <c r="B515">
        <v>7506.9316171140881</v>
      </c>
      <c r="C515">
        <v>-3044.2098171140879</v>
      </c>
    </row>
    <row r="516" spans="1:3" x14ac:dyDescent="0.25">
      <c r="A516">
        <v>489</v>
      </c>
      <c r="B516">
        <v>6145.5001846856931</v>
      </c>
      <c r="C516">
        <v>-1582.6580846856932</v>
      </c>
    </row>
    <row r="517" spans="1:3" x14ac:dyDescent="0.25">
      <c r="A517">
        <v>490</v>
      </c>
      <c r="B517">
        <v>5580.6509733590201</v>
      </c>
      <c r="C517">
        <v>-1126.2483233590201</v>
      </c>
    </row>
    <row r="518" spans="1:3" x14ac:dyDescent="0.25">
      <c r="A518">
        <v>491</v>
      </c>
      <c r="B518">
        <v>6760.236363394496</v>
      </c>
      <c r="C518">
        <v>-2683.7393633944962</v>
      </c>
    </row>
    <row r="519" spans="1:3" x14ac:dyDescent="0.25">
      <c r="A519">
        <v>492</v>
      </c>
      <c r="B519">
        <v>9376.5075114480169</v>
      </c>
      <c r="C519">
        <v>-5386.6665114480165</v>
      </c>
    </row>
    <row r="520" spans="1:3" x14ac:dyDescent="0.25">
      <c r="A520">
        <v>493</v>
      </c>
      <c r="B520">
        <v>8424.5888681300166</v>
      </c>
      <c r="C520">
        <v>-3753.9488681300163</v>
      </c>
    </row>
    <row r="521" spans="1:3" x14ac:dyDescent="0.25">
      <c r="A521">
        <v>494</v>
      </c>
      <c r="B521">
        <v>31257.179695247509</v>
      </c>
      <c r="C521">
        <v>6350.3480047524899</v>
      </c>
    </row>
    <row r="522" spans="1:3" x14ac:dyDescent="0.25">
      <c r="A522">
        <v>495</v>
      </c>
      <c r="B522">
        <v>2752.8056487112899</v>
      </c>
      <c r="C522">
        <v>1791.4291512887103</v>
      </c>
    </row>
    <row r="523" spans="1:3" x14ac:dyDescent="0.25">
      <c r="A523">
        <v>496</v>
      </c>
      <c r="B523">
        <v>5718.6663224294116</v>
      </c>
      <c r="C523">
        <v>-1361.622672429412</v>
      </c>
    </row>
    <row r="524" spans="1:3" x14ac:dyDescent="0.25">
      <c r="A524">
        <v>497</v>
      </c>
      <c r="B524">
        <v>30904.285414504746</v>
      </c>
      <c r="C524">
        <v>-9431.8066145047451</v>
      </c>
    </row>
    <row r="525" spans="1:3" x14ac:dyDescent="0.25">
      <c r="A525">
        <v>498</v>
      </c>
      <c r="B525">
        <v>3713.9004703746332</v>
      </c>
      <c r="C525">
        <v>18270.570139625368</v>
      </c>
    </row>
    <row r="526" spans="1:3" x14ac:dyDescent="0.25">
      <c r="A526">
        <v>499</v>
      </c>
      <c r="B526">
        <v>4003.9474865831467</v>
      </c>
      <c r="C526">
        <v>1350.1271634168529</v>
      </c>
    </row>
    <row r="527" spans="1:3" x14ac:dyDescent="0.25">
      <c r="A527">
        <v>500</v>
      </c>
      <c r="B527">
        <v>8859.4566467625264</v>
      </c>
      <c r="C527">
        <v>-3969.4571467625265</v>
      </c>
    </row>
    <row r="528" spans="1:3" x14ac:dyDescent="0.25">
      <c r="A528">
        <v>501</v>
      </c>
      <c r="B528">
        <v>7749.9170572900148</v>
      </c>
      <c r="C528">
        <v>4654.9620427099853</v>
      </c>
    </row>
    <row r="529" spans="1:3" x14ac:dyDescent="0.25">
      <c r="A529">
        <v>502</v>
      </c>
      <c r="B529">
        <v>4230.4719713315062</v>
      </c>
      <c r="C529">
        <v>-45.374071331506457</v>
      </c>
    </row>
    <row r="530" spans="1:3" x14ac:dyDescent="0.25">
      <c r="A530">
        <v>503</v>
      </c>
      <c r="B530">
        <v>30999.686204589831</v>
      </c>
      <c r="C530">
        <v>6079.6857954101724</v>
      </c>
    </row>
    <row r="531" spans="1:3" x14ac:dyDescent="0.25">
      <c r="A531">
        <v>504</v>
      </c>
      <c r="B531">
        <v>10346.790880142109</v>
      </c>
      <c r="C531">
        <v>-4374.4128801421093</v>
      </c>
    </row>
    <row r="532" spans="1:3" x14ac:dyDescent="0.25">
      <c r="A532">
        <v>505</v>
      </c>
      <c r="B532">
        <v>5978.5058407080151</v>
      </c>
      <c r="C532">
        <v>-1198.9035407080155</v>
      </c>
    </row>
    <row r="533" spans="1:3" x14ac:dyDescent="0.25">
      <c r="A533">
        <v>506</v>
      </c>
      <c r="B533">
        <v>10545.577241691211</v>
      </c>
      <c r="C533">
        <v>781.13762830878841</v>
      </c>
    </row>
    <row r="534" spans="1:3" x14ac:dyDescent="0.25">
      <c r="A534">
        <v>507</v>
      </c>
      <c r="B534">
        <v>12420.275419998317</v>
      </c>
      <c r="C534">
        <v>-5754.032419998317</v>
      </c>
    </row>
    <row r="535" spans="1:3" x14ac:dyDescent="0.25">
      <c r="A535">
        <v>508</v>
      </c>
      <c r="B535">
        <v>2834.0176386216303</v>
      </c>
      <c r="C535">
        <v>1932.0043613783696</v>
      </c>
    </row>
    <row r="536" spans="1:3" x14ac:dyDescent="0.25">
      <c r="A536">
        <v>509</v>
      </c>
      <c r="B536">
        <v>7942.180149736304</v>
      </c>
      <c r="C536">
        <v>-2567.1421497363044</v>
      </c>
    </row>
    <row r="537" spans="1:3" x14ac:dyDescent="0.25">
      <c r="A537">
        <v>510</v>
      </c>
      <c r="B537">
        <v>29413.339544425402</v>
      </c>
      <c r="C537">
        <v>-10372.463544425402</v>
      </c>
    </row>
    <row r="538" spans="1:3" x14ac:dyDescent="0.25">
      <c r="A538">
        <v>511</v>
      </c>
      <c r="B538">
        <v>28197.969746129034</v>
      </c>
      <c r="C538">
        <v>-10293.442696129034</v>
      </c>
    </row>
    <row r="539" spans="1:3" x14ac:dyDescent="0.25">
      <c r="A539">
        <v>512</v>
      </c>
      <c r="B539">
        <v>11647.070546102088</v>
      </c>
      <c r="C539">
        <v>-5286.0769461020882</v>
      </c>
    </row>
    <row r="540" spans="1:3" x14ac:dyDescent="0.25">
      <c r="A540">
        <v>513</v>
      </c>
      <c r="B540">
        <v>31653.044551594474</v>
      </c>
      <c r="C540">
        <v>23482.357538405529</v>
      </c>
    </row>
    <row r="541" spans="1:3" x14ac:dyDescent="0.25">
      <c r="A541">
        <v>514</v>
      </c>
      <c r="B541">
        <v>9536.4868539088584</v>
      </c>
      <c r="C541">
        <v>-2882.6982539088585</v>
      </c>
    </row>
    <row r="542" spans="1:3" x14ac:dyDescent="0.25">
      <c r="A542">
        <v>515</v>
      </c>
      <c r="B542">
        <v>5272.4227662862977</v>
      </c>
      <c r="C542">
        <v>-14.914816286297537</v>
      </c>
    </row>
    <row r="543" spans="1:3" x14ac:dyDescent="0.25">
      <c r="A543">
        <v>516</v>
      </c>
      <c r="B543">
        <v>9506.7587197075682</v>
      </c>
      <c r="C543">
        <v>-2955.008619707568</v>
      </c>
    </row>
    <row r="544" spans="1:3" x14ac:dyDescent="0.25">
      <c r="A544">
        <v>517</v>
      </c>
      <c r="B544">
        <v>27310.421383304099</v>
      </c>
      <c r="C544">
        <v>-10534.117333304101</v>
      </c>
    </row>
    <row r="545" spans="1:3" x14ac:dyDescent="0.25">
      <c r="A545">
        <v>518</v>
      </c>
      <c r="B545">
        <v>32197.354175750603</v>
      </c>
      <c r="C545">
        <v>6085.3953242493953</v>
      </c>
    </row>
    <row r="546" spans="1:3" x14ac:dyDescent="0.25">
      <c r="A546">
        <v>519</v>
      </c>
      <c r="B546">
        <v>6142.2693019756352</v>
      </c>
      <c r="C546">
        <v>-2437.9148019756353</v>
      </c>
    </row>
    <row r="547" spans="1:3" x14ac:dyDescent="0.25">
      <c r="A547">
        <v>520</v>
      </c>
      <c r="B547">
        <v>9695.88953918271</v>
      </c>
      <c r="C547">
        <v>-4900.2327391827102</v>
      </c>
    </row>
    <row r="548" spans="1:3" x14ac:dyDescent="0.25">
      <c r="A548">
        <v>521</v>
      </c>
      <c r="B548">
        <v>7762.7048723351227</v>
      </c>
      <c r="C548">
        <v>-1703.5318723351229</v>
      </c>
    </row>
    <row r="549" spans="1:3" x14ac:dyDescent="0.25">
      <c r="A549">
        <v>522</v>
      </c>
      <c r="B549">
        <v>6189.6992633125201</v>
      </c>
      <c r="C549">
        <v>-928.22981331252049</v>
      </c>
    </row>
    <row r="550" spans="1:3" x14ac:dyDescent="0.25">
      <c r="A550">
        <v>523</v>
      </c>
      <c r="B550">
        <v>4998.0875662113467</v>
      </c>
      <c r="C550">
        <v>-426.6745162113466</v>
      </c>
    </row>
    <row r="551" spans="1:3" x14ac:dyDescent="0.25">
      <c r="A551">
        <v>524</v>
      </c>
      <c r="B551">
        <v>31222.512811584922</v>
      </c>
      <c r="C551">
        <v>6479.3639884150762</v>
      </c>
    </row>
    <row r="552" spans="1:3" x14ac:dyDescent="0.25">
      <c r="A552">
        <v>525</v>
      </c>
      <c r="B552">
        <v>9627.4406269466672</v>
      </c>
      <c r="C552">
        <v>-3637.9169769466671</v>
      </c>
    </row>
    <row r="553" spans="1:3" x14ac:dyDescent="0.25">
      <c r="A553">
        <v>526</v>
      </c>
      <c r="B553">
        <v>5988.5297680862777</v>
      </c>
      <c r="C553">
        <v>-984.67676808627766</v>
      </c>
    </row>
    <row r="554" spans="1:3" x14ac:dyDescent="0.25">
      <c r="A554">
        <v>527</v>
      </c>
      <c r="B554">
        <v>4827.0269591761016</v>
      </c>
      <c r="C554">
        <v>22548.877820823898</v>
      </c>
    </row>
    <row r="555" spans="1:3" x14ac:dyDescent="0.25">
      <c r="A555">
        <v>528</v>
      </c>
      <c r="B555">
        <v>29565.358842878119</v>
      </c>
      <c r="C555">
        <v>-10592.86384287812</v>
      </c>
    </row>
    <row r="556" spans="1:3" x14ac:dyDescent="0.25">
      <c r="A556">
        <v>529</v>
      </c>
      <c r="B556">
        <v>5740.7041881879641</v>
      </c>
      <c r="C556">
        <v>-737.92148818796431</v>
      </c>
    </row>
    <row r="557" spans="1:3" x14ac:dyDescent="0.25">
      <c r="A557">
        <v>530</v>
      </c>
      <c r="B557">
        <v>7984.008463371395</v>
      </c>
      <c r="C557">
        <v>-2971.5374633713955</v>
      </c>
    </row>
    <row r="558" spans="1:3" x14ac:dyDescent="0.25">
      <c r="A558">
        <v>531</v>
      </c>
      <c r="B558">
        <v>5270.8011405885663</v>
      </c>
      <c r="C558">
        <v>-376.04784058856603</v>
      </c>
    </row>
    <row r="559" spans="1:3" x14ac:dyDescent="0.25">
      <c r="A559">
        <v>532</v>
      </c>
      <c r="B559">
        <v>30388.536925209981</v>
      </c>
      <c r="C559">
        <v>5103.1030747900186</v>
      </c>
    </row>
    <row r="560" spans="1:3" x14ac:dyDescent="0.25">
      <c r="A560">
        <v>533</v>
      </c>
      <c r="B560">
        <v>7501.9928676527925</v>
      </c>
      <c r="C560">
        <v>-1317.6934676527926</v>
      </c>
    </row>
    <row r="561" spans="1:3" x14ac:dyDescent="0.25">
      <c r="A561">
        <v>534</v>
      </c>
      <c r="B561">
        <v>10314.974125199877</v>
      </c>
      <c r="C561">
        <v>-4118.5261251998763</v>
      </c>
    </row>
    <row r="562" spans="1:3" x14ac:dyDescent="0.25">
      <c r="A562">
        <v>535</v>
      </c>
      <c r="B562">
        <v>7674.6503630149618</v>
      </c>
      <c r="C562">
        <v>-3739.4704630149618</v>
      </c>
    </row>
    <row r="563" spans="1:3" x14ac:dyDescent="0.25">
      <c r="A563">
        <v>536</v>
      </c>
      <c r="B563">
        <v>30672.146913369186</v>
      </c>
      <c r="C563">
        <v>13271.729186630815</v>
      </c>
    </row>
    <row r="564" spans="1:3" x14ac:dyDescent="0.25">
      <c r="A564">
        <v>537</v>
      </c>
      <c r="B564">
        <v>7839.1753322619907</v>
      </c>
      <c r="C564">
        <v>-2244.3298322619903</v>
      </c>
    </row>
    <row r="565" spans="1:3" x14ac:dyDescent="0.25">
      <c r="A565">
        <v>538</v>
      </c>
      <c r="B565">
        <v>4199.7974783583895</v>
      </c>
      <c r="C565">
        <v>2553.24052164161</v>
      </c>
    </row>
    <row r="566" spans="1:3" x14ac:dyDescent="0.25">
      <c r="A566">
        <v>539</v>
      </c>
      <c r="B566">
        <v>5637.7117393990547</v>
      </c>
      <c r="C566">
        <v>-252.3738393990543</v>
      </c>
    </row>
    <row r="567" spans="1:3" x14ac:dyDescent="0.25">
      <c r="A567">
        <v>540</v>
      </c>
      <c r="B567">
        <v>6301.1063824673647</v>
      </c>
      <c r="C567">
        <v>5436.7424575326359</v>
      </c>
    </row>
    <row r="568" spans="1:3" x14ac:dyDescent="0.25">
      <c r="A568">
        <v>541</v>
      </c>
      <c r="B568">
        <v>8191.221863971834</v>
      </c>
      <c r="C568">
        <v>-3870.8110139718337</v>
      </c>
    </row>
    <row r="569" spans="1:3" x14ac:dyDescent="0.25">
      <c r="A569">
        <v>542</v>
      </c>
      <c r="B569">
        <v>29907.749832514</v>
      </c>
      <c r="C569">
        <v>-9898.1161825140007</v>
      </c>
    </row>
    <row r="570" spans="1:3" x14ac:dyDescent="0.25">
      <c r="A570">
        <v>543</v>
      </c>
      <c r="B570">
        <v>4246.9329267590747</v>
      </c>
      <c r="C570">
        <v>745.44347324092541</v>
      </c>
    </row>
    <row r="571" spans="1:3" x14ac:dyDescent="0.25">
      <c r="A571">
        <v>544</v>
      </c>
      <c r="B571">
        <v>3543.6876123723041</v>
      </c>
      <c r="C571">
        <v>956.65163762769589</v>
      </c>
    </row>
    <row r="572" spans="1:3" x14ac:dyDescent="0.25">
      <c r="A572">
        <v>545</v>
      </c>
      <c r="B572">
        <v>7824.3112651613446</v>
      </c>
      <c r="C572">
        <v>-3305.4850151613446</v>
      </c>
    </row>
    <row r="573" spans="1:3" x14ac:dyDescent="0.25">
      <c r="A573">
        <v>546</v>
      </c>
      <c r="B573">
        <v>7694.3422011525863</v>
      </c>
      <c r="C573">
        <v>6664.022168847413</v>
      </c>
    </row>
    <row r="574" spans="1:3" x14ac:dyDescent="0.25">
      <c r="A574">
        <v>547</v>
      </c>
      <c r="B574">
        <v>11170.71810176798</v>
      </c>
      <c r="C574">
        <v>-6046.5294017679798</v>
      </c>
    </row>
    <row r="575" spans="1:3" x14ac:dyDescent="0.25">
      <c r="A575">
        <v>548</v>
      </c>
      <c r="B575">
        <v>5585.8347610148958</v>
      </c>
      <c r="C575">
        <v>-1170.6759610148956</v>
      </c>
    </row>
    <row r="576" spans="1:3" x14ac:dyDescent="0.25">
      <c r="A576">
        <v>549</v>
      </c>
      <c r="B576">
        <v>10945.041366052536</v>
      </c>
      <c r="C576">
        <v>-6408.7823660525355</v>
      </c>
    </row>
    <row r="577" spans="1:3" x14ac:dyDescent="0.25">
      <c r="A577">
        <v>550</v>
      </c>
      <c r="B577">
        <v>33009.156480571866</v>
      </c>
      <c r="C577">
        <v>6765.1198194281314</v>
      </c>
    </row>
    <row r="578" spans="1:3" x14ac:dyDescent="0.25">
      <c r="A578">
        <v>551</v>
      </c>
      <c r="B578">
        <v>9059.7412868996398</v>
      </c>
      <c r="C578">
        <v>-3330.73598689964</v>
      </c>
    </row>
    <row r="579" spans="1:3" x14ac:dyDescent="0.25">
      <c r="A579">
        <v>552</v>
      </c>
      <c r="B579">
        <v>5161.7400490546488</v>
      </c>
      <c r="C579">
        <v>-36.524349054649065</v>
      </c>
    </row>
    <row r="580" spans="1:3" x14ac:dyDescent="0.25">
      <c r="A580">
        <v>553</v>
      </c>
      <c r="B580">
        <v>8595.8945133598427</v>
      </c>
      <c r="C580">
        <v>-3349.8475133598431</v>
      </c>
    </row>
    <row r="581" spans="1:3" x14ac:dyDescent="0.25">
      <c r="A581">
        <v>554</v>
      </c>
      <c r="B581">
        <v>30608.525772170124</v>
      </c>
      <c r="C581">
        <v>-9624.4321721701235</v>
      </c>
    </row>
    <row r="582" spans="1:3" x14ac:dyDescent="0.25">
      <c r="A582">
        <v>555</v>
      </c>
      <c r="B582">
        <v>7211.9334827588746</v>
      </c>
      <c r="C582">
        <v>-2460.8634827588749</v>
      </c>
    </row>
    <row r="583" spans="1:3" x14ac:dyDescent="0.25">
      <c r="A583">
        <v>556</v>
      </c>
      <c r="B583">
        <v>11818.007806027616</v>
      </c>
      <c r="C583">
        <v>-5971.0902060276157</v>
      </c>
    </row>
    <row r="584" spans="1:3" x14ac:dyDescent="0.25">
      <c r="A584">
        <v>557</v>
      </c>
      <c r="B584">
        <v>7643.9758700418424</v>
      </c>
      <c r="C584">
        <v>-1717.1298700418429</v>
      </c>
    </row>
    <row r="585" spans="1:3" x14ac:dyDescent="0.25">
      <c r="A585">
        <v>558</v>
      </c>
      <c r="B585">
        <v>9818.929842728141</v>
      </c>
      <c r="C585">
        <v>-5056.6008427281413</v>
      </c>
    </row>
    <row r="586" spans="1:3" x14ac:dyDescent="0.25">
      <c r="A586">
        <v>559</v>
      </c>
      <c r="B586">
        <v>7372.8591839915453</v>
      </c>
      <c r="C586">
        <v>-2132.0941839915449</v>
      </c>
    </row>
    <row r="587" spans="1:3" x14ac:dyDescent="0.25">
      <c r="A587">
        <v>560</v>
      </c>
      <c r="B587">
        <v>33130.612264475778</v>
      </c>
      <c r="C587">
        <v>6852.8136855242192</v>
      </c>
    </row>
    <row r="588" spans="1:3" x14ac:dyDescent="0.25">
      <c r="A588">
        <v>561</v>
      </c>
      <c r="B588">
        <v>10129.897200096899</v>
      </c>
      <c r="C588">
        <v>14785.1490599031</v>
      </c>
    </row>
    <row r="589" spans="1:3" x14ac:dyDescent="0.25">
      <c r="A589">
        <v>562</v>
      </c>
      <c r="B589">
        <v>30013.48143159895</v>
      </c>
      <c r="C589">
        <v>-10651.482631598949</v>
      </c>
    </row>
    <row r="590" spans="1:3" x14ac:dyDescent="0.25">
      <c r="A590">
        <v>563</v>
      </c>
      <c r="B590">
        <v>9388.4104714039931</v>
      </c>
      <c r="C590">
        <v>-3454.0306714039934</v>
      </c>
    </row>
    <row r="591" spans="1:3" x14ac:dyDescent="0.25">
      <c r="A591">
        <v>564</v>
      </c>
      <c r="B591">
        <v>7257.754187083432</v>
      </c>
      <c r="C591">
        <v>-843.57618708343216</v>
      </c>
    </row>
    <row r="592" spans="1:3" x14ac:dyDescent="0.25">
      <c r="A592">
        <v>565</v>
      </c>
      <c r="B592">
        <v>5421.2111820289547</v>
      </c>
      <c r="C592">
        <v>981.08016797104574</v>
      </c>
    </row>
    <row r="593" spans="1:3" x14ac:dyDescent="0.25">
      <c r="A593">
        <v>566</v>
      </c>
      <c r="B593">
        <v>8406.0021859052922</v>
      </c>
      <c r="C593">
        <v>-3160.7752859052925</v>
      </c>
    </row>
    <row r="594" spans="1:3" x14ac:dyDescent="0.25">
      <c r="A594">
        <v>567</v>
      </c>
      <c r="B594">
        <v>6117.6387143767142</v>
      </c>
      <c r="C594">
        <v>-1371.2947143767142</v>
      </c>
    </row>
    <row r="595" spans="1:3" x14ac:dyDescent="0.25">
      <c r="A595">
        <v>568</v>
      </c>
      <c r="B595">
        <v>29753.24879064523</v>
      </c>
      <c r="C595">
        <v>-9518.3940406452311</v>
      </c>
    </row>
    <row r="596" spans="1:3" x14ac:dyDescent="0.25">
      <c r="A596">
        <v>569</v>
      </c>
      <c r="B596">
        <v>9410.559315586861</v>
      </c>
      <c r="C596">
        <v>-3574.0389155868606</v>
      </c>
    </row>
    <row r="597" spans="1:3" x14ac:dyDescent="0.25">
      <c r="A597">
        <v>570</v>
      </c>
      <c r="B597">
        <v>8922.5736868621643</v>
      </c>
      <c r="C597">
        <v>-3292.1158368621645</v>
      </c>
    </row>
    <row r="598" spans="1:3" x14ac:dyDescent="0.25">
      <c r="A598">
        <v>571</v>
      </c>
      <c r="B598">
        <v>5330.3312813592493</v>
      </c>
      <c r="C598">
        <v>-102.34253135924882</v>
      </c>
    </row>
    <row r="599" spans="1:3" x14ac:dyDescent="0.25">
      <c r="A599">
        <v>572</v>
      </c>
      <c r="B599">
        <v>3143.7317555969589</v>
      </c>
      <c r="C599">
        <v>1972.768644403041</v>
      </c>
    </row>
    <row r="600" spans="1:3" x14ac:dyDescent="0.25">
      <c r="A600">
        <v>573</v>
      </c>
      <c r="B600">
        <v>6281.7829296340378</v>
      </c>
      <c r="C600">
        <v>-1534.7300296340381</v>
      </c>
    </row>
    <row r="601" spans="1:3" x14ac:dyDescent="0.25">
      <c r="A601">
        <v>574</v>
      </c>
      <c r="B601">
        <v>11596.691846305941</v>
      </c>
      <c r="C601">
        <v>7900.0273236940593</v>
      </c>
    </row>
    <row r="602" spans="1:3" x14ac:dyDescent="0.25">
      <c r="A602">
        <v>575</v>
      </c>
      <c r="B602">
        <v>32793.884426224387</v>
      </c>
      <c r="C602">
        <v>5915.2915737756121</v>
      </c>
    </row>
    <row r="603" spans="1:3" x14ac:dyDescent="0.25">
      <c r="A603">
        <v>576</v>
      </c>
      <c r="B603">
        <v>32072.556530712318</v>
      </c>
      <c r="C603">
        <v>5670.0191692876833</v>
      </c>
    </row>
    <row r="604" spans="1:3" x14ac:dyDescent="0.25">
      <c r="A604">
        <v>577</v>
      </c>
      <c r="B604">
        <v>35895.684196957365</v>
      </c>
      <c r="C604">
        <v>7857.6528530426367</v>
      </c>
    </row>
    <row r="605" spans="1:3" x14ac:dyDescent="0.25">
      <c r="A605">
        <v>578</v>
      </c>
      <c r="B605">
        <v>5612.3196438207233</v>
      </c>
      <c r="C605">
        <v>-728.4536438207233</v>
      </c>
    </row>
    <row r="606" spans="1:3" x14ac:dyDescent="0.25">
      <c r="A606">
        <v>579</v>
      </c>
      <c r="B606">
        <v>7467.3259839902057</v>
      </c>
      <c r="C606">
        <v>-720.58348399020542</v>
      </c>
    </row>
    <row r="607" spans="1:3" x14ac:dyDescent="0.25">
      <c r="A607">
        <v>580</v>
      </c>
      <c r="B607">
        <v>7283.1091766055515</v>
      </c>
      <c r="C607">
        <v>-1805.0723766055517</v>
      </c>
    </row>
    <row r="608" spans="1:3" x14ac:dyDescent="0.25">
      <c r="A608">
        <v>581</v>
      </c>
      <c r="B608">
        <v>29212.059070774845</v>
      </c>
      <c r="C608">
        <v>-10603.797070774846</v>
      </c>
    </row>
    <row r="609" spans="1:3" x14ac:dyDescent="0.25">
      <c r="A609">
        <v>582</v>
      </c>
      <c r="B609">
        <v>7895.3883492691093</v>
      </c>
      <c r="C609">
        <v>-1146.7971492691095</v>
      </c>
    </row>
    <row r="610" spans="1:3" x14ac:dyDescent="0.25">
      <c r="A610">
        <v>583</v>
      </c>
      <c r="B610">
        <v>6738.7995524494181</v>
      </c>
      <c r="C610">
        <v>-2339.0685524494183</v>
      </c>
    </row>
    <row r="611" spans="1:3" x14ac:dyDescent="0.25">
      <c r="A611">
        <v>584</v>
      </c>
      <c r="B611">
        <v>6107.9708036173488</v>
      </c>
      <c r="C611">
        <v>-638.96420361734909</v>
      </c>
    </row>
    <row r="612" spans="1:3" x14ac:dyDescent="0.25">
      <c r="A612">
        <v>585</v>
      </c>
      <c r="B612">
        <v>9208.1613173379974</v>
      </c>
      <c r="C612">
        <v>-3623.8556173379975</v>
      </c>
    </row>
    <row r="613" spans="1:3" x14ac:dyDescent="0.25">
      <c r="A613">
        <v>586</v>
      </c>
      <c r="B613">
        <v>30484.600613535564</v>
      </c>
      <c r="C613">
        <v>-9710.9728635355641</v>
      </c>
    </row>
    <row r="614" spans="1:3" x14ac:dyDescent="0.25">
      <c r="A614">
        <v>587</v>
      </c>
      <c r="B614">
        <v>5496.4531389332005</v>
      </c>
      <c r="C614">
        <v>-230.08753893320045</v>
      </c>
    </row>
    <row r="615" spans="1:3" x14ac:dyDescent="0.25">
      <c r="A615">
        <v>588</v>
      </c>
      <c r="B615">
        <v>8538.3296462203834</v>
      </c>
      <c r="C615">
        <v>-3160.8718462203833</v>
      </c>
    </row>
    <row r="616" spans="1:3" x14ac:dyDescent="0.25">
      <c r="A616">
        <v>589</v>
      </c>
      <c r="B616">
        <v>7318.1320768870337</v>
      </c>
      <c r="C616">
        <v>-2915.8990768870335</v>
      </c>
    </row>
    <row r="617" spans="1:3" x14ac:dyDescent="0.25">
      <c r="A617">
        <v>590</v>
      </c>
      <c r="B617">
        <v>3570.1724951781325</v>
      </c>
      <c r="C617">
        <v>1887.8739548218673</v>
      </c>
    </row>
    <row r="618" spans="1:3" x14ac:dyDescent="0.25">
      <c r="A618">
        <v>591</v>
      </c>
      <c r="B618">
        <v>6841.7920012383274</v>
      </c>
      <c r="C618">
        <v>-1569.6162012383274</v>
      </c>
    </row>
    <row r="619" spans="1:3" x14ac:dyDescent="0.25">
      <c r="A619">
        <v>592</v>
      </c>
      <c r="B619">
        <v>8420.3868892773226</v>
      </c>
      <c r="C619">
        <v>-1176.5732892773221</v>
      </c>
    </row>
    <row r="620" spans="1:3" x14ac:dyDescent="0.25">
      <c r="A620">
        <v>593</v>
      </c>
      <c r="B620">
        <v>6809.6068609917947</v>
      </c>
      <c r="C620">
        <v>-1920.5700609917949</v>
      </c>
    </row>
    <row r="621" spans="1:3" x14ac:dyDescent="0.25">
      <c r="A621">
        <v>594</v>
      </c>
      <c r="B621">
        <v>5832.7878545094827</v>
      </c>
      <c r="C621">
        <v>-564.96970450948265</v>
      </c>
    </row>
    <row r="622" spans="1:3" x14ac:dyDescent="0.25">
      <c r="A622">
        <v>595</v>
      </c>
      <c r="B622">
        <v>7803.6606995664879</v>
      </c>
      <c r="C622">
        <v>-1255.4656495664876</v>
      </c>
    </row>
    <row r="623" spans="1:3" x14ac:dyDescent="0.25">
      <c r="A623">
        <v>596</v>
      </c>
      <c r="B623">
        <v>5724.5006396403824</v>
      </c>
      <c r="C623">
        <v>1503.7150103596177</v>
      </c>
    </row>
    <row r="624" spans="1:3" x14ac:dyDescent="0.25">
      <c r="A624">
        <v>597</v>
      </c>
      <c r="B624">
        <v>32688.054217400531</v>
      </c>
      <c r="C624">
        <v>5727.4197825994706</v>
      </c>
    </row>
    <row r="625" spans="1:3" x14ac:dyDescent="0.25">
      <c r="A625">
        <v>598</v>
      </c>
      <c r="B625">
        <v>7590.4772659599521</v>
      </c>
      <c r="C625">
        <v>-2217.1130159599525</v>
      </c>
    </row>
    <row r="626" spans="1:3" x14ac:dyDescent="0.25">
      <c r="A626">
        <v>599</v>
      </c>
      <c r="B626">
        <v>5989.2665386948784</v>
      </c>
      <c r="C626">
        <v>-516.81753869487875</v>
      </c>
    </row>
    <row r="627" spans="1:3" x14ac:dyDescent="0.25">
      <c r="A627">
        <v>600</v>
      </c>
      <c r="B627">
        <v>7786.3272577351927</v>
      </c>
      <c r="C627">
        <v>-504.82165773519228</v>
      </c>
    </row>
    <row r="628" spans="1:3" x14ac:dyDescent="0.25">
      <c r="A628">
        <v>601</v>
      </c>
      <c r="B628">
        <v>7985.4943732740003</v>
      </c>
      <c r="C628">
        <v>-1579.0836732739999</v>
      </c>
    </row>
    <row r="629" spans="1:3" x14ac:dyDescent="0.25">
      <c r="A629">
        <v>602</v>
      </c>
      <c r="B629">
        <v>7404.5525918240592</v>
      </c>
      <c r="C629">
        <v>-1200.6508418240592</v>
      </c>
    </row>
    <row r="630" spans="1:3" x14ac:dyDescent="0.25">
      <c r="A630">
        <v>603</v>
      </c>
      <c r="B630">
        <v>8297.6902336653802</v>
      </c>
      <c r="C630">
        <v>-1983.9312336653802</v>
      </c>
    </row>
    <row r="631" spans="1:3" x14ac:dyDescent="0.25">
      <c r="A631">
        <v>604</v>
      </c>
      <c r="B631">
        <v>33396.495688128576</v>
      </c>
      <c r="C631">
        <v>6440.0233118714241</v>
      </c>
    </row>
    <row r="632" spans="1:3" x14ac:dyDescent="0.25">
      <c r="A632">
        <v>605</v>
      </c>
      <c r="B632">
        <v>7350.6856024378667</v>
      </c>
      <c r="C632">
        <v>-2703.9266024378667</v>
      </c>
    </row>
    <row r="633" spans="1:3" x14ac:dyDescent="0.25">
      <c r="A633">
        <v>606</v>
      </c>
      <c r="B633">
        <v>5906.3343133478957</v>
      </c>
      <c r="C633">
        <v>780.09698665210453</v>
      </c>
    </row>
    <row r="634" spans="1:3" x14ac:dyDescent="0.25">
      <c r="A634">
        <v>607</v>
      </c>
      <c r="B634">
        <v>6977.3379755780716</v>
      </c>
      <c r="C634">
        <v>-1949.1913755780715</v>
      </c>
    </row>
    <row r="635" spans="1:3" x14ac:dyDescent="0.25">
      <c r="A635">
        <v>608</v>
      </c>
      <c r="B635">
        <v>8795.3314044640392</v>
      </c>
      <c r="C635">
        <v>-1998.4681544640389</v>
      </c>
    </row>
    <row r="636" spans="1:3" x14ac:dyDescent="0.25">
      <c r="A636">
        <v>609</v>
      </c>
      <c r="B636">
        <v>9085.4646617260569</v>
      </c>
      <c r="C636">
        <v>10129.240868273942</v>
      </c>
    </row>
    <row r="637" spans="1:3" x14ac:dyDescent="0.25">
      <c r="A637">
        <v>610</v>
      </c>
      <c r="B637">
        <v>34118.204337630355</v>
      </c>
      <c r="C637">
        <v>6064.0416623696437</v>
      </c>
    </row>
    <row r="638" spans="1:3" x14ac:dyDescent="0.25">
      <c r="A638">
        <v>611</v>
      </c>
      <c r="B638">
        <v>13833.915110058959</v>
      </c>
      <c r="C638">
        <v>-7398.2914100589587</v>
      </c>
    </row>
    <row r="639" spans="1:3" x14ac:dyDescent="0.25">
      <c r="A639">
        <v>612</v>
      </c>
      <c r="B639">
        <v>33604.937591751645</v>
      </c>
      <c r="C639">
        <v>6814.0815082483532</v>
      </c>
    </row>
    <row r="640" spans="1:3" x14ac:dyDescent="0.25">
      <c r="A640">
        <v>613</v>
      </c>
      <c r="B640">
        <v>29745.939276192199</v>
      </c>
      <c r="C640">
        <v>-10206.6962761922</v>
      </c>
    </row>
    <row r="641" spans="1:3" x14ac:dyDescent="0.25">
      <c r="A641">
        <v>614</v>
      </c>
      <c r="B641">
        <v>31155.648418990393</v>
      </c>
      <c r="C641">
        <v>6114.5027810096071</v>
      </c>
    </row>
    <row r="642" spans="1:3" x14ac:dyDescent="0.25">
      <c r="A642">
        <v>615</v>
      </c>
      <c r="B642">
        <v>37516.193639684949</v>
      </c>
      <c r="C642">
        <v>8597.3173603150499</v>
      </c>
    </row>
    <row r="643" spans="1:3" x14ac:dyDescent="0.25">
      <c r="A643">
        <v>616</v>
      </c>
      <c r="B643">
        <v>7879.2834104604381</v>
      </c>
      <c r="C643">
        <v>-1567.3314104604378</v>
      </c>
    </row>
    <row r="644" spans="1:3" x14ac:dyDescent="0.25">
      <c r="A644">
        <v>617</v>
      </c>
      <c r="B644">
        <v>32729.882531035619</v>
      </c>
      <c r="C644">
        <v>6317.4024689643848</v>
      </c>
    </row>
    <row r="645" spans="1:3" x14ac:dyDescent="0.25">
      <c r="A645">
        <v>618</v>
      </c>
      <c r="B645">
        <v>3949.4777863586182</v>
      </c>
      <c r="C645">
        <v>2928.5023136413815</v>
      </c>
    </row>
    <row r="646" spans="1:3" x14ac:dyDescent="0.25">
      <c r="A646">
        <v>619</v>
      </c>
      <c r="B646">
        <v>33653.59605611115</v>
      </c>
      <c r="C646">
        <v>6218.1082438888479</v>
      </c>
    </row>
    <row r="647" spans="1:3" x14ac:dyDescent="0.25">
      <c r="A647">
        <v>620</v>
      </c>
      <c r="B647">
        <v>7028.8341999725253</v>
      </c>
      <c r="C647">
        <v>13391.770450027476</v>
      </c>
    </row>
    <row r="648" spans="1:3" x14ac:dyDescent="0.25">
      <c r="A648">
        <v>621</v>
      </c>
      <c r="B648">
        <v>8887.9068031995776</v>
      </c>
      <c r="C648">
        <v>-2775.5538531995771</v>
      </c>
    </row>
    <row r="649" spans="1:3" x14ac:dyDescent="0.25">
      <c r="A649">
        <v>622</v>
      </c>
      <c r="B649">
        <v>6212.0931456899698</v>
      </c>
      <c r="C649">
        <v>-13.341345689969785</v>
      </c>
    </row>
    <row r="650" spans="1:3" x14ac:dyDescent="0.25">
      <c r="A650">
        <v>623</v>
      </c>
      <c r="B650">
        <v>29947.477156722744</v>
      </c>
      <c r="C650">
        <v>-9650.6137067227428</v>
      </c>
    </row>
    <row r="651" spans="1:3" x14ac:dyDescent="0.25">
      <c r="A651">
        <v>624</v>
      </c>
      <c r="B651">
        <v>6165.8054463221988</v>
      </c>
      <c r="C651">
        <v>819.70150367780116</v>
      </c>
    </row>
    <row r="652" spans="1:3" x14ac:dyDescent="0.25">
      <c r="A652">
        <v>625</v>
      </c>
      <c r="B652">
        <v>10093.608690736581</v>
      </c>
      <c r="C652">
        <v>-4013.9371907365803</v>
      </c>
    </row>
    <row r="653" spans="1:3" x14ac:dyDescent="0.25">
      <c r="A653">
        <v>626</v>
      </c>
      <c r="B653">
        <v>27718.643825964849</v>
      </c>
      <c r="C653">
        <v>-11897.944825964849</v>
      </c>
    </row>
    <row r="654" spans="1:3" x14ac:dyDescent="0.25">
      <c r="A654">
        <v>627</v>
      </c>
      <c r="B654">
        <v>9810.7602105567858</v>
      </c>
      <c r="C654">
        <v>-3728.355210556786</v>
      </c>
    </row>
    <row r="655" spans="1:3" x14ac:dyDescent="0.25">
      <c r="A655">
        <v>628</v>
      </c>
      <c r="B655">
        <v>7601.2503326322176</v>
      </c>
      <c r="C655">
        <v>-1145.3876826322175</v>
      </c>
    </row>
    <row r="656" spans="1:3" x14ac:dyDescent="0.25">
      <c r="A656">
        <v>629</v>
      </c>
      <c r="B656">
        <v>10617.845722765382</v>
      </c>
      <c r="C656">
        <v>-5216.865222765382</v>
      </c>
    </row>
    <row r="657" spans="1:3" x14ac:dyDescent="0.25">
      <c r="A657">
        <v>630</v>
      </c>
      <c r="B657">
        <v>5913.5204806912061</v>
      </c>
      <c r="C657">
        <v>739.00831930879394</v>
      </c>
    </row>
    <row r="658" spans="1:3" x14ac:dyDescent="0.25">
      <c r="A658">
        <v>631</v>
      </c>
      <c r="B658">
        <v>6944.2927176132152</v>
      </c>
      <c r="C658">
        <v>-389.22236761321528</v>
      </c>
    </row>
    <row r="659" spans="1:3" x14ac:dyDescent="0.25">
      <c r="A659">
        <v>632</v>
      </c>
      <c r="B659">
        <v>7480.1753027180084</v>
      </c>
      <c r="C659">
        <v>-1505.7906027180088</v>
      </c>
    </row>
    <row r="660" spans="1:3" x14ac:dyDescent="0.25">
      <c r="A660">
        <v>633</v>
      </c>
      <c r="B660">
        <v>9838.9653287992551</v>
      </c>
      <c r="C660">
        <v>-4441.3486287992555</v>
      </c>
    </row>
    <row r="661" spans="1:3" x14ac:dyDescent="0.25">
      <c r="A661">
        <v>634</v>
      </c>
      <c r="B661">
        <v>7188.8997834868742</v>
      </c>
      <c r="C661">
        <v>-1121.7730334868738</v>
      </c>
    </row>
    <row r="662" spans="1:3" x14ac:dyDescent="0.25">
      <c r="A662">
        <v>635</v>
      </c>
      <c r="B662">
        <v>11224.916370402256</v>
      </c>
      <c r="C662">
        <v>-4851.3590204022557</v>
      </c>
    </row>
    <row r="663" spans="1:3" x14ac:dyDescent="0.25">
      <c r="A663">
        <v>636</v>
      </c>
      <c r="B663">
        <v>8046.6337710570106</v>
      </c>
      <c r="C663">
        <v>-2069.8026710570102</v>
      </c>
    </row>
    <row r="664" spans="1:3" x14ac:dyDescent="0.25">
      <c r="A664">
        <v>637</v>
      </c>
      <c r="B664">
        <v>9842.9453508033184</v>
      </c>
      <c r="C664">
        <v>-3271.4013508033186</v>
      </c>
    </row>
    <row r="665" spans="1:3" x14ac:dyDescent="0.25">
      <c r="A665">
        <v>638</v>
      </c>
      <c r="B665">
        <v>4910.5726080219629</v>
      </c>
      <c r="C665">
        <v>2022.6696419780374</v>
      </c>
    </row>
    <row r="666" spans="1:3" x14ac:dyDescent="0.25">
      <c r="A666">
        <v>639</v>
      </c>
      <c r="B666">
        <v>8127.8581296527555</v>
      </c>
      <c r="C666">
        <v>-976.76612965275581</v>
      </c>
    </row>
    <row r="667" spans="1:3" x14ac:dyDescent="0.25">
      <c r="A667">
        <v>640</v>
      </c>
      <c r="B667">
        <v>8146.4077058212652</v>
      </c>
      <c r="C667">
        <v>-2658.1457058212654</v>
      </c>
    </row>
    <row r="668" spans="1:3" x14ac:dyDescent="0.25">
      <c r="A668">
        <v>641</v>
      </c>
      <c r="B668">
        <v>7601.2503326322176</v>
      </c>
      <c r="C668">
        <v>-456.38768263221755</v>
      </c>
    </row>
    <row r="669" spans="1:3" x14ac:dyDescent="0.25">
      <c r="A669">
        <v>642</v>
      </c>
      <c r="B669">
        <v>7267.7533770908822</v>
      </c>
      <c r="C669">
        <v>-1783.2860770908819</v>
      </c>
    </row>
    <row r="670" spans="1:3" x14ac:dyDescent="0.25">
      <c r="A670">
        <v>643</v>
      </c>
      <c r="B670">
        <v>6578.6106218253481</v>
      </c>
      <c r="C670">
        <v>-1195.074621825348</v>
      </c>
    </row>
    <row r="671" spans="1:3" x14ac:dyDescent="0.25">
      <c r="A671">
        <v>644</v>
      </c>
      <c r="B671">
        <v>4589.9497085792418</v>
      </c>
      <c r="C671">
        <v>1265.9527914207583</v>
      </c>
    </row>
    <row r="672" spans="1:3" x14ac:dyDescent="0.25">
      <c r="A672">
        <v>645</v>
      </c>
      <c r="B672">
        <v>35283.294045869487</v>
      </c>
      <c r="C672">
        <v>6665.9500541305169</v>
      </c>
    </row>
    <row r="673" spans="1:3" x14ac:dyDescent="0.25">
      <c r="A673">
        <v>646</v>
      </c>
      <c r="B673">
        <v>8059.8885811453283</v>
      </c>
      <c r="C673">
        <v>-1602.0451811453286</v>
      </c>
    </row>
    <row r="674" spans="1:3" x14ac:dyDescent="0.25">
      <c r="A674">
        <v>647</v>
      </c>
      <c r="B674">
        <v>8839.1497291011601</v>
      </c>
      <c r="C674">
        <v>-1301.9858291011606</v>
      </c>
    </row>
    <row r="675" spans="1:3" x14ac:dyDescent="0.25">
      <c r="A675">
        <v>648</v>
      </c>
      <c r="B675">
        <v>4054.4478774641543</v>
      </c>
      <c r="C675">
        <v>2586.0969725358459</v>
      </c>
    </row>
    <row r="676" spans="1:3" x14ac:dyDescent="0.25">
      <c r="A676">
        <v>649</v>
      </c>
      <c r="B676">
        <v>5063.4520241929995</v>
      </c>
      <c r="C676">
        <v>2070.4504758070007</v>
      </c>
    </row>
    <row r="677" spans="1:3" x14ac:dyDescent="0.25">
      <c r="A677">
        <v>650</v>
      </c>
      <c r="B677">
        <v>8510.0874219216967</v>
      </c>
      <c r="C677">
        <v>-2860.3724219216965</v>
      </c>
    </row>
    <row r="678" spans="1:3" x14ac:dyDescent="0.25">
      <c r="A678">
        <v>651</v>
      </c>
      <c r="B678">
        <v>6788.9439267115322</v>
      </c>
      <c r="C678">
        <v>-78.75202671153238</v>
      </c>
    </row>
    <row r="679" spans="1:3" x14ac:dyDescent="0.25">
      <c r="A679">
        <v>652</v>
      </c>
      <c r="B679">
        <v>31196.149619863951</v>
      </c>
      <c r="C679">
        <v>-9536.2195198639492</v>
      </c>
    </row>
    <row r="680" spans="1:3" x14ac:dyDescent="0.25">
      <c r="A680">
        <v>653</v>
      </c>
      <c r="B680">
        <v>9374.1721964876342</v>
      </c>
      <c r="C680">
        <v>-1861.9051964876344</v>
      </c>
    </row>
    <row r="681" spans="1:3" x14ac:dyDescent="0.25">
      <c r="A681">
        <v>654</v>
      </c>
      <c r="B681">
        <v>31346.658271043252</v>
      </c>
      <c r="C681">
        <v>-10264.498271043252</v>
      </c>
    </row>
    <row r="682" spans="1:3" x14ac:dyDescent="0.25">
      <c r="A682">
        <v>655</v>
      </c>
      <c r="B682">
        <v>13522.075266286472</v>
      </c>
      <c r="C682">
        <v>-7165.8045662864724</v>
      </c>
    </row>
    <row r="683" spans="1:3" x14ac:dyDescent="0.25">
      <c r="A683">
        <v>656</v>
      </c>
      <c r="B683">
        <v>30264.856804769999</v>
      </c>
      <c r="C683">
        <v>-10115.53390477</v>
      </c>
    </row>
    <row r="684" spans="1:3" x14ac:dyDescent="0.25">
      <c r="A684">
        <v>657</v>
      </c>
      <c r="B684">
        <v>6865.8075093135076</v>
      </c>
      <c r="C684">
        <v>-742.23870931350757</v>
      </c>
    </row>
    <row r="685" spans="1:3" x14ac:dyDescent="0.25">
      <c r="A685">
        <v>658</v>
      </c>
      <c r="B685">
        <v>34073.1204039144</v>
      </c>
      <c r="C685">
        <v>6030.7695960855999</v>
      </c>
    </row>
    <row r="686" spans="1:3" x14ac:dyDescent="0.25">
      <c r="A686">
        <v>659</v>
      </c>
      <c r="B686">
        <v>6712.0803441095541</v>
      </c>
      <c r="C686">
        <v>1273.7346558904455</v>
      </c>
    </row>
    <row r="687" spans="1:3" x14ac:dyDescent="0.25">
      <c r="A687">
        <v>660</v>
      </c>
      <c r="B687">
        <v>11406.750044109769</v>
      </c>
      <c r="C687">
        <v>-5744.5250441097687</v>
      </c>
    </row>
    <row r="688" spans="1:3" x14ac:dyDescent="0.25">
      <c r="A688">
        <v>661</v>
      </c>
      <c r="B688">
        <v>9173.8628189797109</v>
      </c>
      <c r="C688">
        <v>-1964.3710189797112</v>
      </c>
    </row>
    <row r="689" spans="1:3" x14ac:dyDescent="0.25">
      <c r="A689">
        <v>662</v>
      </c>
      <c r="B689">
        <v>5459.3168805399655</v>
      </c>
      <c r="C689">
        <v>658.17761946003429</v>
      </c>
    </row>
    <row r="690" spans="1:3" x14ac:dyDescent="0.25">
      <c r="A690">
        <v>663</v>
      </c>
      <c r="B690">
        <v>8887.0343167958526</v>
      </c>
      <c r="C690">
        <v>-2648.7363167958529</v>
      </c>
    </row>
    <row r="691" spans="1:3" x14ac:dyDescent="0.25">
      <c r="A691">
        <v>664</v>
      </c>
      <c r="B691">
        <v>8117.7232238501801</v>
      </c>
      <c r="C691">
        <v>848.07252614981917</v>
      </c>
    </row>
    <row r="692" spans="1:3" x14ac:dyDescent="0.25">
      <c r="A692">
        <v>665</v>
      </c>
      <c r="B692">
        <v>11366.813131737801</v>
      </c>
      <c r="C692">
        <v>-2769.985331737802</v>
      </c>
    </row>
    <row r="693" spans="1:3" x14ac:dyDescent="0.25">
      <c r="A693">
        <v>666</v>
      </c>
      <c r="B693">
        <v>6864.9597602805907</v>
      </c>
      <c r="C693">
        <v>1121.5154897194097</v>
      </c>
    </row>
    <row r="694" spans="1:3" x14ac:dyDescent="0.25">
      <c r="A694">
        <v>667</v>
      </c>
      <c r="B694">
        <v>10349.001191967913</v>
      </c>
      <c r="C694">
        <v>-2930.4791919679128</v>
      </c>
    </row>
    <row r="695" spans="1:3" x14ac:dyDescent="0.25">
      <c r="A695">
        <v>668</v>
      </c>
      <c r="B695">
        <v>11681.932993217637</v>
      </c>
      <c r="C695">
        <v>-5924.519543217637</v>
      </c>
    </row>
    <row r="696" spans="1:3" x14ac:dyDescent="0.25">
      <c r="A696">
        <v>669</v>
      </c>
      <c r="B696">
        <v>30022.153508844865</v>
      </c>
      <c r="C696">
        <v>-10998.893508844867</v>
      </c>
    </row>
    <row r="697" spans="1:3" x14ac:dyDescent="0.25">
      <c r="A697">
        <v>670</v>
      </c>
      <c r="B697">
        <v>8003.4659759749848</v>
      </c>
      <c r="C697">
        <v>578.83632402501462</v>
      </c>
    </row>
    <row r="698" spans="1:3" x14ac:dyDescent="0.25">
      <c r="A698">
        <v>671</v>
      </c>
      <c r="B698">
        <v>9309.0404080151548</v>
      </c>
      <c r="C698">
        <v>-2970.9648080151546</v>
      </c>
    </row>
    <row r="699" spans="1:3" x14ac:dyDescent="0.25">
      <c r="A699">
        <v>672</v>
      </c>
      <c r="B699">
        <v>9875.4988763541551</v>
      </c>
      <c r="C699">
        <v>13687.517303645844</v>
      </c>
    </row>
    <row r="700" spans="1:3" x14ac:dyDescent="0.25">
      <c r="A700">
        <v>673</v>
      </c>
      <c r="B700">
        <v>31869.666800049432</v>
      </c>
      <c r="C700">
        <v>-9407.6230500494312</v>
      </c>
    </row>
    <row r="701" spans="1:3" x14ac:dyDescent="0.25">
      <c r="A701">
        <v>674</v>
      </c>
      <c r="B701">
        <v>7369.8857081614724</v>
      </c>
      <c r="C701">
        <v>-168.18485816147222</v>
      </c>
    </row>
    <row r="702" spans="1:3" x14ac:dyDescent="0.25">
      <c r="A702">
        <v>675</v>
      </c>
      <c r="B702">
        <v>8865.6346119069876</v>
      </c>
      <c r="C702">
        <v>-805.95551190698734</v>
      </c>
    </row>
    <row r="703" spans="1:3" x14ac:dyDescent="0.25">
      <c r="A703">
        <v>676</v>
      </c>
      <c r="B703">
        <v>7154.2328998242874</v>
      </c>
      <c r="C703">
        <v>-764.85504982428756</v>
      </c>
    </row>
    <row r="704" spans="1:3" x14ac:dyDescent="0.25">
      <c r="A704">
        <v>677</v>
      </c>
      <c r="B704">
        <v>9859.0131835557768</v>
      </c>
      <c r="C704">
        <v>-3938.9090835557772</v>
      </c>
    </row>
    <row r="705" spans="1:3" x14ac:dyDescent="0.25">
      <c r="A705">
        <v>678</v>
      </c>
      <c r="B705">
        <v>6879.0499507164213</v>
      </c>
      <c r="C705">
        <v>198.13944928357887</v>
      </c>
    </row>
    <row r="706" spans="1:3" x14ac:dyDescent="0.25">
      <c r="A706">
        <v>679</v>
      </c>
      <c r="B706">
        <v>11954.646567594855</v>
      </c>
      <c r="C706">
        <v>-5344.5368675948548</v>
      </c>
    </row>
    <row r="707" spans="1:3" x14ac:dyDescent="0.25">
      <c r="A707">
        <v>680</v>
      </c>
      <c r="B707">
        <v>10042.382241907517</v>
      </c>
      <c r="C707">
        <v>-1879.6659919075164</v>
      </c>
    </row>
    <row r="708" spans="1:3" x14ac:dyDescent="0.25">
      <c r="A708">
        <v>681</v>
      </c>
      <c r="B708">
        <v>30121.153566944304</v>
      </c>
      <c r="C708">
        <v>-10676.887766944303</v>
      </c>
    </row>
    <row r="709" spans="1:3" x14ac:dyDescent="0.25">
      <c r="A709">
        <v>682</v>
      </c>
      <c r="B709">
        <v>10993.072382202894</v>
      </c>
      <c r="C709">
        <v>-3796.2053822028938</v>
      </c>
    </row>
    <row r="710" spans="1:3" x14ac:dyDescent="0.25">
      <c r="A710">
        <v>683</v>
      </c>
      <c r="B710">
        <v>28868.770857364423</v>
      </c>
      <c r="C710">
        <v>-11689.248857364422</v>
      </c>
    </row>
    <row r="711" spans="1:3" x14ac:dyDescent="0.25">
      <c r="A711">
        <v>684</v>
      </c>
      <c r="B711">
        <v>31546.574525876062</v>
      </c>
      <c r="C711">
        <v>-9215.0077258760612</v>
      </c>
    </row>
    <row r="712" spans="1:3" x14ac:dyDescent="0.25">
      <c r="A712">
        <v>685</v>
      </c>
      <c r="B712">
        <v>9661.4553250292975</v>
      </c>
      <c r="C712">
        <v>-3061.2493750292979</v>
      </c>
    </row>
    <row r="713" spans="1:3" x14ac:dyDescent="0.25">
      <c r="A713">
        <v>686</v>
      </c>
      <c r="B713">
        <v>33044.792804352226</v>
      </c>
      <c r="C713">
        <v>6080.5394456477734</v>
      </c>
    </row>
    <row r="714" spans="1:3" x14ac:dyDescent="0.25">
      <c r="A714">
        <v>687</v>
      </c>
      <c r="B714">
        <v>7738.012441309178</v>
      </c>
      <c r="C714">
        <v>-1827.0684413091776</v>
      </c>
    </row>
    <row r="715" spans="1:3" x14ac:dyDescent="0.25">
      <c r="A715">
        <v>688</v>
      </c>
      <c r="B715">
        <v>10252.81415653261</v>
      </c>
      <c r="C715">
        <v>-2570.1441565326095</v>
      </c>
    </row>
    <row r="716" spans="1:3" x14ac:dyDescent="0.25">
      <c r="A716">
        <v>689</v>
      </c>
      <c r="B716">
        <v>6465.8516525381619</v>
      </c>
      <c r="C716">
        <v>707.50829746183808</v>
      </c>
    </row>
    <row r="717" spans="1:3" x14ac:dyDescent="0.25">
      <c r="A717">
        <v>690</v>
      </c>
      <c r="B717">
        <v>7153.3851507913723</v>
      </c>
      <c r="C717">
        <v>1098.899149208627</v>
      </c>
    </row>
    <row r="718" spans="1:3" x14ac:dyDescent="0.25">
      <c r="A718">
        <v>691</v>
      </c>
      <c r="B718">
        <v>33518.295119965987</v>
      </c>
      <c r="C718">
        <v>6485.0371300340121</v>
      </c>
    </row>
    <row r="719" spans="1:3" x14ac:dyDescent="0.25">
      <c r="A719">
        <v>692</v>
      </c>
      <c r="B719">
        <v>8279.1035514406558</v>
      </c>
      <c r="C719">
        <v>-1778.8676514406561</v>
      </c>
    </row>
    <row r="720" spans="1:3" x14ac:dyDescent="0.25">
      <c r="A720">
        <v>693</v>
      </c>
      <c r="B720">
        <v>11629.195897115154</v>
      </c>
      <c r="C720">
        <v>-6190.4467971151544</v>
      </c>
    </row>
    <row r="721" spans="1:3" x14ac:dyDescent="0.25">
      <c r="A721">
        <v>694</v>
      </c>
      <c r="B721">
        <v>9554.0158591931122</v>
      </c>
      <c r="C721">
        <v>-2567.3188591931121</v>
      </c>
    </row>
    <row r="722" spans="1:3" x14ac:dyDescent="0.25">
      <c r="A722">
        <v>695</v>
      </c>
      <c r="B722">
        <v>12015.798334063271</v>
      </c>
      <c r="C722">
        <v>16460.93665593673</v>
      </c>
    </row>
    <row r="723" spans="1:3" x14ac:dyDescent="0.25">
      <c r="A723">
        <v>696</v>
      </c>
      <c r="B723">
        <v>8781.5724932762932</v>
      </c>
      <c r="C723">
        <v>-2181.2114932762934</v>
      </c>
    </row>
    <row r="724" spans="1:3" x14ac:dyDescent="0.25">
      <c r="A724">
        <v>697</v>
      </c>
      <c r="B724">
        <v>7503.441671499183</v>
      </c>
      <c r="C724">
        <v>-1006.5556714991826</v>
      </c>
    </row>
    <row r="725" spans="1:3" x14ac:dyDescent="0.25">
      <c r="A725">
        <v>698</v>
      </c>
      <c r="B725">
        <v>8132.661163318925</v>
      </c>
      <c r="C725">
        <v>-1739.0577133189254</v>
      </c>
    </row>
    <row r="726" spans="1:3" x14ac:dyDescent="0.25">
      <c r="A726">
        <v>699</v>
      </c>
      <c r="B726">
        <v>6283.2441021658333</v>
      </c>
      <c r="C726">
        <v>-867.58290216583373</v>
      </c>
    </row>
    <row r="727" spans="1:3" x14ac:dyDescent="0.25">
      <c r="A727">
        <v>700</v>
      </c>
      <c r="B727">
        <v>7194.8450791221603</v>
      </c>
      <c r="C727">
        <v>-601.3367791221599</v>
      </c>
    </row>
    <row r="728" spans="1:3" x14ac:dyDescent="0.25">
      <c r="A728">
        <v>701</v>
      </c>
      <c r="B728">
        <v>9535.4662830246034</v>
      </c>
      <c r="C728">
        <v>6293.3554469753963</v>
      </c>
    </row>
    <row r="729" spans="1:3" x14ac:dyDescent="0.25">
      <c r="A729">
        <v>702</v>
      </c>
      <c r="B729">
        <v>5952.4862969205369</v>
      </c>
      <c r="C729">
        <v>319.99090307946335</v>
      </c>
    </row>
    <row r="730" spans="1:3" x14ac:dyDescent="0.25">
      <c r="A730">
        <v>703</v>
      </c>
      <c r="B730">
        <v>9078.891917881625</v>
      </c>
      <c r="C730">
        <v>-2507.8675678816253</v>
      </c>
    </row>
    <row r="731" spans="1:3" x14ac:dyDescent="0.25">
      <c r="A731">
        <v>704</v>
      </c>
      <c r="B731">
        <v>8639.5647535164335</v>
      </c>
      <c r="C731">
        <v>-2453.4377535164331</v>
      </c>
    </row>
    <row r="732" spans="1:3" x14ac:dyDescent="0.25">
      <c r="A732">
        <v>705</v>
      </c>
      <c r="B732">
        <v>10560.55063119131</v>
      </c>
      <c r="C732">
        <v>-2022.2621811913104</v>
      </c>
    </row>
    <row r="733" spans="1:3" x14ac:dyDescent="0.25">
      <c r="A733">
        <v>706</v>
      </c>
      <c r="B733">
        <v>9306.1779106093963</v>
      </c>
      <c r="C733">
        <v>-2530.2169106093961</v>
      </c>
    </row>
    <row r="734" spans="1:3" x14ac:dyDescent="0.25">
      <c r="A734">
        <v>707</v>
      </c>
      <c r="B734">
        <v>11356.752098303325</v>
      </c>
      <c r="C734">
        <v>-3984.9800983033247</v>
      </c>
    </row>
    <row r="735" spans="1:3" x14ac:dyDescent="0.25">
      <c r="A735">
        <v>708</v>
      </c>
      <c r="B735">
        <v>9124.3318682164791</v>
      </c>
      <c r="C735">
        <v>-1766.1562182164789</v>
      </c>
    </row>
    <row r="736" spans="1:3" x14ac:dyDescent="0.25">
      <c r="A736">
        <v>709</v>
      </c>
      <c r="B736">
        <v>11340.659528180056</v>
      </c>
      <c r="C736">
        <v>-4074.9570281800561</v>
      </c>
    </row>
    <row r="737" spans="1:3" x14ac:dyDescent="0.25">
      <c r="A737">
        <v>710</v>
      </c>
      <c r="B737">
        <v>10056.472432343346</v>
      </c>
      <c r="C737">
        <v>-2307.3160323433458</v>
      </c>
    </row>
    <row r="738" spans="1:3" x14ac:dyDescent="0.25">
      <c r="A738">
        <v>711</v>
      </c>
      <c r="B738">
        <v>9261.4994682539509</v>
      </c>
      <c r="C738">
        <v>-2004.7763682539507</v>
      </c>
    </row>
    <row r="739" spans="1:3" x14ac:dyDescent="0.25">
      <c r="A739">
        <v>712</v>
      </c>
      <c r="B739">
        <v>11426.797898866289</v>
      </c>
      <c r="C739">
        <v>-5717.6334988662893</v>
      </c>
    </row>
    <row r="740" spans="1:3" x14ac:dyDescent="0.25">
      <c r="A740">
        <v>713</v>
      </c>
      <c r="B740">
        <v>8452.8909400865341</v>
      </c>
      <c r="C740">
        <v>-2267.5701400865337</v>
      </c>
    </row>
    <row r="741" spans="1:3" x14ac:dyDescent="0.25">
      <c r="A741">
        <v>714</v>
      </c>
      <c r="B741">
        <v>34260.150233963192</v>
      </c>
      <c r="C741">
        <v>6013.4952660368072</v>
      </c>
    </row>
    <row r="742" spans="1:3" x14ac:dyDescent="0.25">
      <c r="A742">
        <v>715</v>
      </c>
      <c r="B742">
        <v>8084.7518382534245</v>
      </c>
      <c r="C742">
        <v>-1420.0658882534244</v>
      </c>
    </row>
    <row r="743" spans="1:3" x14ac:dyDescent="0.25">
      <c r="A743">
        <v>716</v>
      </c>
      <c r="B743">
        <v>10554.96135217492</v>
      </c>
      <c r="C743">
        <v>-3773.60715217492</v>
      </c>
    </row>
    <row r="744" spans="1:3" x14ac:dyDescent="0.25">
      <c r="A744">
        <v>717</v>
      </c>
      <c r="B744">
        <v>10423.383031153835</v>
      </c>
      <c r="C744">
        <v>-3161.642031153835</v>
      </c>
    </row>
    <row r="745" spans="1:3" x14ac:dyDescent="0.25">
      <c r="A745">
        <v>718</v>
      </c>
      <c r="B745">
        <v>33607.553394937961</v>
      </c>
      <c r="C745">
        <v>5989.8538050620409</v>
      </c>
    </row>
    <row r="746" spans="1:3" x14ac:dyDescent="0.25">
      <c r="A746">
        <v>719</v>
      </c>
      <c r="B746">
        <v>8211.8831422272342</v>
      </c>
      <c r="C746">
        <v>-1929.6481422272345</v>
      </c>
    </row>
    <row r="747" spans="1:3" x14ac:dyDescent="0.25">
      <c r="A747">
        <v>720</v>
      </c>
      <c r="B747">
        <v>9953.099229564732</v>
      </c>
      <c r="C747">
        <v>-3663.3443295647321</v>
      </c>
    </row>
    <row r="748" spans="1:3" x14ac:dyDescent="0.25">
      <c r="A748">
        <v>721</v>
      </c>
      <c r="B748">
        <v>10376.247582753149</v>
      </c>
      <c r="C748">
        <v>-1153.8449827531495</v>
      </c>
    </row>
    <row r="749" spans="1:3" x14ac:dyDescent="0.25">
      <c r="A749">
        <v>722</v>
      </c>
      <c r="B749">
        <v>10381.923102823046</v>
      </c>
      <c r="C749">
        <v>-2427.4061028230462</v>
      </c>
    </row>
    <row r="750" spans="1:3" x14ac:dyDescent="0.25">
      <c r="A750">
        <v>723</v>
      </c>
      <c r="B750">
        <v>8054.1759550192155</v>
      </c>
      <c r="C750">
        <v>-900.62205501921562</v>
      </c>
    </row>
    <row r="751" spans="1:3" x14ac:dyDescent="0.25">
      <c r="A751">
        <v>724</v>
      </c>
      <c r="B751">
        <v>5944.4400118589028</v>
      </c>
      <c r="C751">
        <v>7781.0318281410973</v>
      </c>
    </row>
    <row r="752" spans="1:3" x14ac:dyDescent="0.25">
      <c r="A752">
        <v>725</v>
      </c>
      <c r="B752">
        <v>9267.1749883238481</v>
      </c>
      <c r="C752">
        <v>-3567.3374883238484</v>
      </c>
    </row>
    <row r="753" spans="1:3" x14ac:dyDescent="0.25">
      <c r="A753">
        <v>726</v>
      </c>
      <c r="B753">
        <v>6647.6853262456752</v>
      </c>
      <c r="C753">
        <v>210.79427375432442</v>
      </c>
    </row>
    <row r="754" spans="1:3" x14ac:dyDescent="0.25">
      <c r="A754">
        <v>727</v>
      </c>
      <c r="B754">
        <v>7970.4945903782273</v>
      </c>
      <c r="C754">
        <v>-1200.3020903782271</v>
      </c>
    </row>
    <row r="755" spans="1:3" x14ac:dyDescent="0.25">
      <c r="A755">
        <v>728</v>
      </c>
      <c r="B755">
        <v>9779.6802262231522</v>
      </c>
      <c r="C755">
        <v>-2903.719226223152</v>
      </c>
    </row>
    <row r="756" spans="1:3" x14ac:dyDescent="0.25">
      <c r="A756">
        <v>729</v>
      </c>
      <c r="B756">
        <v>30059.977063105081</v>
      </c>
      <c r="C756">
        <v>-10095.230763105083</v>
      </c>
    </row>
    <row r="757" spans="1:3" x14ac:dyDescent="0.25">
      <c r="A757">
        <v>730</v>
      </c>
      <c r="B757">
        <v>31099.557093068135</v>
      </c>
      <c r="C757">
        <v>-9750.8510930681368</v>
      </c>
    </row>
    <row r="758" spans="1:3" x14ac:dyDescent="0.25">
      <c r="A758">
        <v>731</v>
      </c>
      <c r="B758">
        <v>30468.728344236064</v>
      </c>
      <c r="C758">
        <v>-10953.186744236064</v>
      </c>
    </row>
    <row r="759" spans="1:3" x14ac:dyDescent="0.25">
      <c r="A759">
        <v>732</v>
      </c>
      <c r="B759">
        <v>10849.823770735009</v>
      </c>
      <c r="C759">
        <v>-3406.1807207350093</v>
      </c>
    </row>
    <row r="760" spans="1:3" x14ac:dyDescent="0.25">
      <c r="A760">
        <v>733</v>
      </c>
      <c r="B760">
        <v>7715.3718647122887</v>
      </c>
      <c r="C760">
        <v>301.68928528771175</v>
      </c>
    </row>
    <row r="761" spans="1:3" x14ac:dyDescent="0.25">
      <c r="A761">
        <v>734</v>
      </c>
      <c r="B761">
        <v>9871.3955072403714</v>
      </c>
      <c r="C761">
        <v>-2231.9780572403715</v>
      </c>
    </row>
    <row r="762" spans="1:3" x14ac:dyDescent="0.25">
      <c r="A762">
        <v>735</v>
      </c>
      <c r="B762">
        <v>7384.7126692059028</v>
      </c>
      <c r="C762">
        <v>-1414.9896692059028</v>
      </c>
    </row>
    <row r="763" spans="1:3" x14ac:dyDescent="0.25">
      <c r="A763">
        <v>736</v>
      </c>
      <c r="B763">
        <v>32193.851861450297</v>
      </c>
      <c r="C763">
        <v>-10049.819861450298</v>
      </c>
    </row>
    <row r="764" spans="1:3" x14ac:dyDescent="0.25">
      <c r="A764">
        <v>737</v>
      </c>
      <c r="B764">
        <v>31402.478165375262</v>
      </c>
      <c r="C764">
        <v>6843.115104624736</v>
      </c>
    </row>
    <row r="765" spans="1:3" x14ac:dyDescent="0.25">
      <c r="A765">
        <v>738</v>
      </c>
      <c r="B765">
        <v>9162.0939187939966</v>
      </c>
      <c r="C765">
        <v>-1521.7847187939969</v>
      </c>
    </row>
    <row r="766" spans="1:3" x14ac:dyDescent="0.25">
      <c r="A766">
        <v>739</v>
      </c>
      <c r="B766">
        <v>33070.42993812514</v>
      </c>
      <c r="C766">
        <v>-282.97134812513832</v>
      </c>
    </row>
    <row r="767" spans="1:3" x14ac:dyDescent="0.25">
      <c r="A767">
        <v>740</v>
      </c>
      <c r="B767">
        <v>8082.282463522778</v>
      </c>
      <c r="C767">
        <v>-352.63671352277834</v>
      </c>
    </row>
    <row r="768" spans="1:3" x14ac:dyDescent="0.25">
      <c r="A768">
        <v>741</v>
      </c>
      <c r="B768">
        <v>8534.1029299968777</v>
      </c>
      <c r="C768">
        <v>-1483.4609299968779</v>
      </c>
    </row>
    <row r="769" spans="1:3" x14ac:dyDescent="0.25">
      <c r="A769">
        <v>742</v>
      </c>
      <c r="B769">
        <v>7626.481975044614</v>
      </c>
      <c r="C769">
        <v>-579.75977504461389</v>
      </c>
    </row>
    <row r="770" spans="1:3" x14ac:dyDescent="0.25">
      <c r="A770">
        <v>743</v>
      </c>
      <c r="B770">
        <v>11250.909520794063</v>
      </c>
      <c r="C770">
        <v>-4090.5792207940631</v>
      </c>
    </row>
    <row r="771" spans="1:3" x14ac:dyDescent="0.25">
      <c r="A771">
        <v>744</v>
      </c>
      <c r="B771">
        <v>6728.1358081766066</v>
      </c>
      <c r="C771">
        <v>-761.24840817660697</v>
      </c>
    </row>
    <row r="772" spans="1:3" x14ac:dyDescent="0.25">
      <c r="A772">
        <v>745</v>
      </c>
      <c r="B772">
        <v>11196.194782374954</v>
      </c>
      <c r="C772">
        <v>-4036.1007823749542</v>
      </c>
    </row>
    <row r="773" spans="1:3" x14ac:dyDescent="0.25">
      <c r="A773">
        <v>746</v>
      </c>
      <c r="B773">
        <v>8786.3755269424637</v>
      </c>
      <c r="C773">
        <v>-2427.5990769424634</v>
      </c>
    </row>
    <row r="774" spans="1:3" x14ac:dyDescent="0.25">
      <c r="A774">
        <v>747</v>
      </c>
      <c r="B774">
        <v>7343.2527408751139</v>
      </c>
      <c r="C774">
        <v>-297.75374087511409</v>
      </c>
    </row>
    <row r="775" spans="1:3" x14ac:dyDescent="0.25">
      <c r="A775">
        <v>748</v>
      </c>
      <c r="B775">
        <v>9702.0427669563614</v>
      </c>
      <c r="C775">
        <v>-3722.3117669563617</v>
      </c>
    </row>
    <row r="776" spans="1:3" x14ac:dyDescent="0.25">
      <c r="A776">
        <v>749</v>
      </c>
      <c r="B776">
        <v>12500.921465382211</v>
      </c>
      <c r="C776">
        <v>-4850.1477153822107</v>
      </c>
    </row>
    <row r="777" spans="1:3" x14ac:dyDescent="0.25">
      <c r="A777">
        <v>750</v>
      </c>
      <c r="B777">
        <v>11640.349717777126</v>
      </c>
      <c r="C777">
        <v>-4478.3375177771259</v>
      </c>
    </row>
    <row r="778" spans="1:3" x14ac:dyDescent="0.25">
      <c r="A778">
        <v>751</v>
      </c>
      <c r="B778">
        <v>10925.078096324658</v>
      </c>
      <c r="C778">
        <v>-4451.065096324658</v>
      </c>
    </row>
    <row r="779" spans="1:3" x14ac:dyDescent="0.25">
      <c r="A779">
        <v>752</v>
      </c>
      <c r="B779">
        <v>31404.468176377293</v>
      </c>
      <c r="C779">
        <v>-10145.090226377295</v>
      </c>
    </row>
    <row r="780" spans="1:3" x14ac:dyDescent="0.25">
      <c r="A780">
        <v>753</v>
      </c>
      <c r="B780">
        <v>7669.9319143774346</v>
      </c>
      <c r="C780">
        <v>-729.02206437743462</v>
      </c>
    </row>
    <row r="781" spans="1:3" x14ac:dyDescent="0.25">
      <c r="A781">
        <v>754</v>
      </c>
      <c r="B781">
        <v>36478.455536243397</v>
      </c>
      <c r="C781">
        <v>7417.9207637566069</v>
      </c>
    </row>
    <row r="782" spans="1:3" x14ac:dyDescent="0.25">
      <c r="A782">
        <v>755</v>
      </c>
      <c r="B782">
        <v>9306.1655419239905</v>
      </c>
      <c r="C782">
        <v>-2256.1442419239902</v>
      </c>
    </row>
    <row r="783" spans="1:3" x14ac:dyDescent="0.25">
      <c r="A783">
        <v>756</v>
      </c>
      <c r="B783">
        <v>9211.1207684578039</v>
      </c>
      <c r="C783">
        <v>-604.90336845780439</v>
      </c>
    </row>
    <row r="784" spans="1:3" x14ac:dyDescent="0.25">
      <c r="A784">
        <v>757</v>
      </c>
      <c r="B784">
        <v>35793.661188286227</v>
      </c>
      <c r="C784">
        <v>6330.854111713772</v>
      </c>
    </row>
    <row r="785" spans="1:3" x14ac:dyDescent="0.25">
      <c r="A785">
        <v>758</v>
      </c>
      <c r="B785">
        <v>11428.2961774543</v>
      </c>
      <c r="C785">
        <v>7716.2803425456987</v>
      </c>
    </row>
    <row r="786" spans="1:3" x14ac:dyDescent="0.25">
      <c r="A786">
        <v>759</v>
      </c>
      <c r="B786">
        <v>11476.954641813807</v>
      </c>
      <c r="C786">
        <v>-2954.9516418138064</v>
      </c>
    </row>
    <row r="787" spans="1:3" x14ac:dyDescent="0.25">
      <c r="A787">
        <v>760</v>
      </c>
      <c r="B787">
        <v>10929.045749643317</v>
      </c>
      <c r="C787">
        <v>-3583.3191496433174</v>
      </c>
    </row>
    <row r="788" spans="1:3" x14ac:dyDescent="0.25">
      <c r="A788">
        <v>761</v>
      </c>
      <c r="B788">
        <v>7362.5514563376291</v>
      </c>
      <c r="C788">
        <v>-525.18275633762914</v>
      </c>
    </row>
    <row r="789" spans="1:3" x14ac:dyDescent="0.25">
      <c r="A789">
        <v>762</v>
      </c>
      <c r="B789">
        <v>37665.694088665405</v>
      </c>
      <c r="C789">
        <v>8197.510911334597</v>
      </c>
    </row>
    <row r="790" spans="1:3" x14ac:dyDescent="0.25">
      <c r="A790">
        <v>763</v>
      </c>
      <c r="B790">
        <v>10424.119801762436</v>
      </c>
      <c r="C790">
        <v>-2982.6188017624354</v>
      </c>
    </row>
    <row r="791" spans="1:3" x14ac:dyDescent="0.25">
      <c r="A791">
        <v>764</v>
      </c>
      <c r="B791">
        <v>11296.337102443511</v>
      </c>
      <c r="C791">
        <v>7509.8083675564885</v>
      </c>
    </row>
    <row r="792" spans="1:3" x14ac:dyDescent="0.25">
      <c r="A792">
        <v>765</v>
      </c>
      <c r="B792">
        <v>35992.828303825037</v>
      </c>
      <c r="C792">
        <v>6567.60209617496</v>
      </c>
    </row>
    <row r="793" spans="1:3" x14ac:dyDescent="0.25">
      <c r="A793">
        <v>766</v>
      </c>
      <c r="B793">
        <v>9807.7743660413053</v>
      </c>
      <c r="C793">
        <v>-1496.9352160413055</v>
      </c>
    </row>
    <row r="794" spans="1:3" x14ac:dyDescent="0.25">
      <c r="A794">
        <v>767</v>
      </c>
      <c r="B794">
        <v>9145.9889799853263</v>
      </c>
      <c r="C794">
        <v>-2296.9629799853265</v>
      </c>
    </row>
    <row r="795" spans="1:3" x14ac:dyDescent="0.25">
      <c r="A795">
        <v>768</v>
      </c>
      <c r="B795">
        <v>30194.675288411909</v>
      </c>
      <c r="C795">
        <v>-10396.620738411908</v>
      </c>
    </row>
    <row r="796" spans="1:3" x14ac:dyDescent="0.25">
      <c r="A796">
        <v>769</v>
      </c>
      <c r="B796">
        <v>31449.134250047329</v>
      </c>
      <c r="C796">
        <v>-9674.8121000473293</v>
      </c>
    </row>
    <row r="797" spans="1:3" x14ac:dyDescent="0.25">
      <c r="A797">
        <v>770</v>
      </c>
      <c r="B797">
        <v>6451.7119873607116</v>
      </c>
      <c r="C797">
        <v>-201.27698736071125</v>
      </c>
    </row>
    <row r="798" spans="1:3" x14ac:dyDescent="0.25">
      <c r="A798">
        <v>771</v>
      </c>
      <c r="B798">
        <v>34521.586640568719</v>
      </c>
      <c r="C798">
        <v>6512.6347594312829</v>
      </c>
    </row>
    <row r="799" spans="1:3" x14ac:dyDescent="0.25">
      <c r="A799">
        <v>772</v>
      </c>
      <c r="B799">
        <v>10097.821382249818</v>
      </c>
      <c r="C799">
        <v>-1687.7745322498176</v>
      </c>
    </row>
    <row r="800" spans="1:3" x14ac:dyDescent="0.25">
      <c r="A800">
        <v>773</v>
      </c>
      <c r="B800">
        <v>30222.032657621461</v>
      </c>
      <c r="C800">
        <v>-11454.29495762146</v>
      </c>
    </row>
    <row r="801" spans="1:3" x14ac:dyDescent="0.25">
      <c r="A801">
        <v>774</v>
      </c>
      <c r="B801">
        <v>31692.893566888073</v>
      </c>
      <c r="C801">
        <v>-9812.0735668880734</v>
      </c>
    </row>
    <row r="802" spans="1:3" x14ac:dyDescent="0.25">
      <c r="A802">
        <v>775</v>
      </c>
      <c r="B802">
        <v>7056.7926239955532</v>
      </c>
      <c r="C802">
        <v>268.25557600444699</v>
      </c>
    </row>
    <row r="803" spans="1:3" x14ac:dyDescent="0.25">
      <c r="A803">
        <v>776</v>
      </c>
      <c r="B803">
        <v>34696.147905879414</v>
      </c>
      <c r="C803">
        <v>6245.1374941205868</v>
      </c>
    </row>
    <row r="804" spans="1:3" x14ac:dyDescent="0.25">
      <c r="A804">
        <v>777</v>
      </c>
      <c r="B804">
        <v>10587.883263030055</v>
      </c>
      <c r="C804">
        <v>-2860.6300630300548</v>
      </c>
    </row>
    <row r="805" spans="1:3" x14ac:dyDescent="0.25">
      <c r="A805">
        <v>778</v>
      </c>
      <c r="B805">
        <v>32336.596371818756</v>
      </c>
      <c r="C805">
        <v>-9857.9963718187573</v>
      </c>
    </row>
    <row r="806" spans="1:3" x14ac:dyDescent="0.25">
      <c r="A806">
        <v>779</v>
      </c>
      <c r="B806">
        <v>31402.846550679562</v>
      </c>
      <c r="C806">
        <v>-9631.5042506795617</v>
      </c>
    </row>
    <row r="807" spans="1:3" x14ac:dyDescent="0.25">
      <c r="A807">
        <v>780</v>
      </c>
      <c r="B807">
        <v>9081.6186994922573</v>
      </c>
      <c r="C807">
        <v>-1743.8706994922577</v>
      </c>
    </row>
    <row r="808" spans="1:3" x14ac:dyDescent="0.25">
      <c r="A808">
        <v>781</v>
      </c>
      <c r="B808">
        <v>9565.9188191490884</v>
      </c>
      <c r="C808">
        <v>4912.4113308509113</v>
      </c>
    </row>
    <row r="809" spans="1:3" x14ac:dyDescent="0.25">
      <c r="A809">
        <v>782</v>
      </c>
      <c r="B809">
        <v>31743.628283303115</v>
      </c>
      <c r="C809">
        <v>6086.0959166968823</v>
      </c>
    </row>
    <row r="810" spans="1:3" x14ac:dyDescent="0.25">
      <c r="A810">
        <v>783</v>
      </c>
      <c r="B810">
        <v>9008.3420162192324</v>
      </c>
      <c r="C810">
        <v>-1281.4880162192321</v>
      </c>
    </row>
    <row r="811" spans="1:3" x14ac:dyDescent="0.25">
      <c r="A811">
        <v>784</v>
      </c>
      <c r="B811">
        <v>12130.300620133045</v>
      </c>
      <c r="C811">
        <v>-4389.9636201330441</v>
      </c>
    </row>
    <row r="812" spans="1:3" x14ac:dyDescent="0.25">
      <c r="A812">
        <v>785</v>
      </c>
      <c r="B812">
        <v>33617.552584945413</v>
      </c>
      <c r="C812">
        <v>5938.9419150545873</v>
      </c>
    </row>
    <row r="813" spans="1:3" x14ac:dyDescent="0.25">
      <c r="A813">
        <v>786</v>
      </c>
      <c r="B813">
        <v>11962.176382871658</v>
      </c>
      <c r="C813">
        <v>-5013.4755828716579</v>
      </c>
    </row>
    <row r="814" spans="1:3" x14ac:dyDescent="0.25">
      <c r="A814">
        <v>787</v>
      </c>
      <c r="B814">
        <v>7742.7044965510304</v>
      </c>
      <c r="C814">
        <v>-323.22659655103053</v>
      </c>
    </row>
    <row r="815" spans="1:3" x14ac:dyDescent="0.25">
      <c r="A815">
        <v>788</v>
      </c>
      <c r="B815">
        <v>10067.233130330207</v>
      </c>
      <c r="C815">
        <v>-2335.8060303302072</v>
      </c>
    </row>
    <row r="816" spans="1:3" x14ac:dyDescent="0.25">
      <c r="A816">
        <v>789</v>
      </c>
      <c r="B816">
        <v>11965.775650886017</v>
      </c>
      <c r="C816">
        <v>-4813.1042508860164</v>
      </c>
    </row>
    <row r="817" spans="1:3" x14ac:dyDescent="0.25">
      <c r="A817">
        <v>790</v>
      </c>
      <c r="B817">
        <v>8140.1909785957268</v>
      </c>
      <c r="C817">
        <v>-718.99642859572668</v>
      </c>
    </row>
    <row r="818" spans="1:3" x14ac:dyDescent="0.25">
      <c r="A818">
        <v>791</v>
      </c>
      <c r="B818">
        <v>10493.686238596783</v>
      </c>
      <c r="C818">
        <v>-2377.417388596783</v>
      </c>
    </row>
    <row r="819" spans="1:3" x14ac:dyDescent="0.25">
      <c r="A819">
        <v>792</v>
      </c>
      <c r="B819">
        <v>7313.7943822392108</v>
      </c>
      <c r="C819">
        <v>988.74126776078901</v>
      </c>
    </row>
    <row r="820" spans="1:3" x14ac:dyDescent="0.25">
      <c r="A820">
        <v>793</v>
      </c>
      <c r="B820">
        <v>30040.174246543138</v>
      </c>
      <c r="C820">
        <v>-10445.364596543139</v>
      </c>
    </row>
    <row r="821" spans="1:3" x14ac:dyDescent="0.25">
      <c r="A821">
        <v>794</v>
      </c>
      <c r="B821">
        <v>35303.673179874095</v>
      </c>
      <c r="C821">
        <v>13581.462430125903</v>
      </c>
    </row>
    <row r="822" spans="1:3" x14ac:dyDescent="0.25">
      <c r="A822">
        <v>795</v>
      </c>
      <c r="B822">
        <v>7907.6102197877663</v>
      </c>
      <c r="C822">
        <v>303.48998021223451</v>
      </c>
    </row>
    <row r="823" spans="1:3" x14ac:dyDescent="0.25">
      <c r="A823">
        <v>796</v>
      </c>
      <c r="B823">
        <v>35590.120928068245</v>
      </c>
      <c r="C823">
        <v>7393.3375719317555</v>
      </c>
    </row>
    <row r="824" spans="1:3" x14ac:dyDescent="0.25">
      <c r="A824">
        <v>797</v>
      </c>
      <c r="B824">
        <v>38127.071487474546</v>
      </c>
      <c r="C824">
        <v>8073.9136125254518</v>
      </c>
    </row>
    <row r="825" spans="1:3" x14ac:dyDescent="0.25">
      <c r="A825">
        <v>798</v>
      </c>
      <c r="B825">
        <v>10983.748119377018</v>
      </c>
      <c r="C825">
        <v>1813.4615006229815</v>
      </c>
    </row>
    <row r="826" spans="1:3" x14ac:dyDescent="0.25">
      <c r="A826">
        <v>799</v>
      </c>
      <c r="B826">
        <v>9784.0038961607042</v>
      </c>
      <c r="C826">
        <v>-1564.7999961607038</v>
      </c>
    </row>
    <row r="827" spans="1:3" x14ac:dyDescent="0.25">
      <c r="A827">
        <v>800</v>
      </c>
      <c r="B827">
        <v>7695.5690481503452</v>
      </c>
      <c r="C827">
        <v>1195.5704518496541</v>
      </c>
    </row>
    <row r="828" spans="1:3" x14ac:dyDescent="0.25">
      <c r="A828">
        <v>801</v>
      </c>
      <c r="B828">
        <v>10124.785628784264</v>
      </c>
      <c r="C828">
        <v>-2491.0650287842645</v>
      </c>
    </row>
    <row r="829" spans="1:3" x14ac:dyDescent="0.25">
      <c r="A829">
        <v>802</v>
      </c>
      <c r="B829">
        <v>8567.024840852011</v>
      </c>
      <c r="C829">
        <v>-940.03184085201065</v>
      </c>
    </row>
    <row r="830" spans="1:3" x14ac:dyDescent="0.25">
      <c r="A830">
        <v>803</v>
      </c>
      <c r="B830">
        <v>9759.8650409758047</v>
      </c>
      <c r="C830">
        <v>22348.797779024197</v>
      </c>
    </row>
    <row r="831" spans="1:3" x14ac:dyDescent="0.25">
      <c r="A831">
        <v>804</v>
      </c>
      <c r="B831">
        <v>33720.925787724023</v>
      </c>
      <c r="C831">
        <v>5277.6202122759787</v>
      </c>
    </row>
    <row r="832" spans="1:3" x14ac:dyDescent="0.25">
      <c r="A832">
        <v>805</v>
      </c>
      <c r="B832">
        <v>7879.872096588505</v>
      </c>
      <c r="C832">
        <v>-361.84674658850508</v>
      </c>
    </row>
    <row r="833" spans="1:3" x14ac:dyDescent="0.25">
      <c r="A833">
        <v>806</v>
      </c>
      <c r="B833">
        <v>8019.8774566609291</v>
      </c>
      <c r="C833">
        <v>-395.24745666092895</v>
      </c>
    </row>
    <row r="834" spans="1:3" x14ac:dyDescent="0.25">
      <c r="A834">
        <v>807</v>
      </c>
      <c r="B834">
        <v>11610.129851161813</v>
      </c>
      <c r="C834">
        <v>-3586.9944011618136</v>
      </c>
    </row>
    <row r="835" spans="1:3" x14ac:dyDescent="0.25">
      <c r="A835">
        <v>808</v>
      </c>
      <c r="B835">
        <v>7762.3963346886567</v>
      </c>
      <c r="C835">
        <v>-138.87833468865665</v>
      </c>
    </row>
    <row r="836" spans="1:3" x14ac:dyDescent="0.25">
      <c r="A836">
        <v>809</v>
      </c>
      <c r="B836">
        <v>10762.051405665639</v>
      </c>
      <c r="C836">
        <v>-3614.5786056656398</v>
      </c>
    </row>
    <row r="837" spans="1:3" x14ac:dyDescent="0.25">
      <c r="A837">
        <v>810</v>
      </c>
      <c r="B837">
        <v>11822.539408103534</v>
      </c>
      <c r="C837">
        <v>-3887.2482581035338</v>
      </c>
    </row>
    <row r="838" spans="1:3" x14ac:dyDescent="0.25">
      <c r="A838">
        <v>811</v>
      </c>
      <c r="B838">
        <v>31627.650799991279</v>
      </c>
      <c r="C838">
        <v>-10529.09674999128</v>
      </c>
    </row>
    <row r="839" spans="1:3" x14ac:dyDescent="0.25">
      <c r="A839">
        <v>812</v>
      </c>
      <c r="B839">
        <v>9652.4132064542173</v>
      </c>
      <c r="C839">
        <v>-1135.5842064542176</v>
      </c>
    </row>
    <row r="840" spans="1:3" x14ac:dyDescent="0.25">
      <c r="A840">
        <v>813</v>
      </c>
      <c r="B840">
        <v>10392.671432124502</v>
      </c>
      <c r="C840">
        <v>-1872.6454321245019</v>
      </c>
    </row>
    <row r="841" spans="1:3" x14ac:dyDescent="0.25">
      <c r="A841">
        <v>814</v>
      </c>
      <c r="B841">
        <v>9693.8731347850062</v>
      </c>
      <c r="C841">
        <v>-2252.8201347850063</v>
      </c>
    </row>
    <row r="842" spans="1:3" x14ac:dyDescent="0.25">
      <c r="A842">
        <v>815</v>
      </c>
      <c r="B842">
        <v>36000.00210248294</v>
      </c>
      <c r="C842">
        <v>6760.5000975170624</v>
      </c>
    </row>
    <row r="843" spans="1:3" x14ac:dyDescent="0.25">
      <c r="A843">
        <v>816</v>
      </c>
      <c r="B843">
        <v>9692.1776367191724</v>
      </c>
      <c r="C843">
        <v>96.688263280828323</v>
      </c>
    </row>
    <row r="844" spans="1:3" x14ac:dyDescent="0.25">
      <c r="A844">
        <v>817</v>
      </c>
      <c r="B844">
        <v>10153.73988632074</v>
      </c>
      <c r="C844">
        <v>-2808.6558863207401</v>
      </c>
    </row>
    <row r="845" spans="1:3" x14ac:dyDescent="0.25">
      <c r="A845">
        <v>818</v>
      </c>
      <c r="B845">
        <v>9684.59834670075</v>
      </c>
      <c r="C845">
        <v>-1656.6303467007501</v>
      </c>
    </row>
    <row r="846" spans="1:3" x14ac:dyDescent="0.25">
      <c r="A846">
        <v>819</v>
      </c>
      <c r="B846">
        <v>10262.321614126038</v>
      </c>
      <c r="C846">
        <v>-1848.8585641260379</v>
      </c>
    </row>
    <row r="847" spans="1:3" x14ac:dyDescent="0.25">
      <c r="A847">
        <v>820</v>
      </c>
      <c r="B847">
        <v>12130.669005437345</v>
      </c>
      <c r="C847">
        <v>-3603.1370054373456</v>
      </c>
    </row>
    <row r="848" spans="1:3" x14ac:dyDescent="0.25">
      <c r="A848">
        <v>821</v>
      </c>
      <c r="B848">
        <v>6380.032192414611</v>
      </c>
      <c r="C848">
        <v>842.75405758538909</v>
      </c>
    </row>
    <row r="849" spans="1:3" x14ac:dyDescent="0.25">
      <c r="A849">
        <v>822</v>
      </c>
      <c r="B849">
        <v>8183.1615541999345</v>
      </c>
      <c r="C849">
        <v>421.32209580006565</v>
      </c>
    </row>
    <row r="850" spans="1:3" x14ac:dyDescent="0.25">
      <c r="A850">
        <v>823</v>
      </c>
      <c r="B850">
        <v>8550.0721530104238</v>
      </c>
      <c r="C850">
        <v>544.99609698957647</v>
      </c>
    </row>
    <row r="851" spans="1:3" x14ac:dyDescent="0.25">
      <c r="A851">
        <v>824</v>
      </c>
      <c r="B851">
        <v>12311.753539850853</v>
      </c>
      <c r="C851">
        <v>-4863.3495898508536</v>
      </c>
    </row>
    <row r="852" spans="1:3" x14ac:dyDescent="0.25">
      <c r="A852">
        <v>825</v>
      </c>
      <c r="B852">
        <v>11027.566444014141</v>
      </c>
      <c r="C852">
        <v>-3295.7085940141405</v>
      </c>
    </row>
    <row r="853" spans="1:3" x14ac:dyDescent="0.25">
      <c r="A853">
        <v>826</v>
      </c>
      <c r="B853">
        <v>10820.353043413703</v>
      </c>
      <c r="C853">
        <v>-3374.4350434137032</v>
      </c>
    </row>
    <row r="854" spans="1:3" x14ac:dyDescent="0.25">
      <c r="A854">
        <v>827</v>
      </c>
      <c r="B854">
        <v>30680.646168763764</v>
      </c>
      <c r="C854">
        <v>4388.7283512362337</v>
      </c>
    </row>
    <row r="855" spans="1:3" x14ac:dyDescent="0.25">
      <c r="A855">
        <v>828</v>
      </c>
      <c r="B855">
        <v>10861.81297174449</v>
      </c>
      <c r="C855">
        <v>-3513.6709717444901</v>
      </c>
    </row>
    <row r="856" spans="1:3" x14ac:dyDescent="0.25">
      <c r="A856">
        <v>829</v>
      </c>
      <c r="B856">
        <v>13793.412253160539</v>
      </c>
      <c r="C856">
        <v>-4088.7442031605387</v>
      </c>
    </row>
    <row r="857" spans="1:3" x14ac:dyDescent="0.25">
      <c r="A857">
        <v>830</v>
      </c>
      <c r="B857">
        <v>8871.542801486059</v>
      </c>
      <c r="C857">
        <v>19468.64604851394</v>
      </c>
    </row>
    <row r="858" spans="1:3" x14ac:dyDescent="0.25">
      <c r="A858">
        <v>831</v>
      </c>
      <c r="B858">
        <v>33600.219143114118</v>
      </c>
      <c r="C858">
        <v>6125.2989068858806</v>
      </c>
    </row>
    <row r="859" spans="1:3" x14ac:dyDescent="0.25">
      <c r="A859">
        <v>832</v>
      </c>
      <c r="B859">
        <v>9732.1145490911422</v>
      </c>
      <c r="C859">
        <v>8197.1888209088593</v>
      </c>
    </row>
    <row r="860" spans="1:3" x14ac:dyDescent="0.25">
      <c r="A860">
        <v>833</v>
      </c>
      <c r="B860">
        <v>7470.6414517289077</v>
      </c>
      <c r="C860">
        <v>1134.7200482710932</v>
      </c>
    </row>
    <row r="861" spans="1:3" x14ac:dyDescent="0.25">
      <c r="A861">
        <v>834</v>
      </c>
      <c r="B861">
        <v>8030.282138028896</v>
      </c>
      <c r="C861">
        <v>573.54126197110327</v>
      </c>
    </row>
    <row r="862" spans="1:3" x14ac:dyDescent="0.25">
      <c r="A862">
        <v>835</v>
      </c>
      <c r="B862">
        <v>9404.5876265559036</v>
      </c>
      <c r="C862">
        <v>-888.82892655590331</v>
      </c>
    </row>
    <row r="863" spans="1:3" x14ac:dyDescent="0.25">
      <c r="A863">
        <v>836</v>
      </c>
      <c r="B863">
        <v>9192.5464549184835</v>
      </c>
      <c r="C863">
        <v>-90.748454918482821</v>
      </c>
    </row>
    <row r="864" spans="1:3" x14ac:dyDescent="0.25">
      <c r="A864">
        <v>837</v>
      </c>
      <c r="B864">
        <v>9771.8789793560991</v>
      </c>
      <c r="C864">
        <v>-1156.5789793560998</v>
      </c>
    </row>
    <row r="865" spans="1:3" x14ac:dyDescent="0.25">
      <c r="A865">
        <v>838</v>
      </c>
      <c r="B865">
        <v>33083.266888167534</v>
      </c>
      <c r="C865">
        <v>29509.606201832466</v>
      </c>
    </row>
    <row r="866" spans="1:3" x14ac:dyDescent="0.25">
      <c r="A866">
        <v>839</v>
      </c>
      <c r="B866">
        <v>10994.521186049285</v>
      </c>
      <c r="C866">
        <v>-2753.9315860492861</v>
      </c>
    </row>
    <row r="867" spans="1:3" x14ac:dyDescent="0.25">
      <c r="A867">
        <v>840</v>
      </c>
      <c r="B867">
        <v>8686.4658763830812</v>
      </c>
      <c r="C867">
        <v>-659.79927638308163</v>
      </c>
    </row>
    <row r="868" spans="1:3" x14ac:dyDescent="0.25">
      <c r="A868">
        <v>841</v>
      </c>
      <c r="B868">
        <v>34805.073281618199</v>
      </c>
      <c r="C868">
        <v>5915.4777683818029</v>
      </c>
    </row>
    <row r="869" spans="1:3" x14ac:dyDescent="0.25">
      <c r="A869">
        <v>842</v>
      </c>
      <c r="B869">
        <v>10006.818134470392</v>
      </c>
      <c r="C869">
        <v>-1183.5391344703912</v>
      </c>
    </row>
    <row r="870" spans="1:3" x14ac:dyDescent="0.25">
      <c r="A870">
        <v>843</v>
      </c>
      <c r="B870">
        <v>6935.5942469716247</v>
      </c>
      <c r="C870">
        <v>211.51075302837489</v>
      </c>
    </row>
    <row r="871" spans="1:3" x14ac:dyDescent="0.25">
      <c r="A871">
        <v>844</v>
      </c>
      <c r="B871">
        <v>38620.621657844822</v>
      </c>
      <c r="C871">
        <v>7530.502842155176</v>
      </c>
    </row>
    <row r="872" spans="1:3" x14ac:dyDescent="0.25">
      <c r="A872">
        <v>845</v>
      </c>
      <c r="B872">
        <v>8799.4946212356572</v>
      </c>
      <c r="C872">
        <v>-1057.384821235657</v>
      </c>
    </row>
    <row r="873" spans="1:3" x14ac:dyDescent="0.25">
      <c r="A873">
        <v>846</v>
      </c>
      <c r="B873">
        <v>16176.709519730988</v>
      </c>
      <c r="C873">
        <v>-6743.7842197309874</v>
      </c>
    </row>
    <row r="874" spans="1:3" x14ac:dyDescent="0.25">
      <c r="A874">
        <v>847</v>
      </c>
      <c r="B874">
        <v>9153.5311639475331</v>
      </c>
      <c r="C874">
        <v>-920.89236394753243</v>
      </c>
    </row>
    <row r="875" spans="1:3" x14ac:dyDescent="0.25">
      <c r="A875">
        <v>848</v>
      </c>
      <c r="B875">
        <v>10963.945302815078</v>
      </c>
      <c r="C875">
        <v>-2629.4877528150791</v>
      </c>
    </row>
    <row r="876" spans="1:3" x14ac:dyDescent="0.25">
      <c r="A876">
        <v>849</v>
      </c>
      <c r="B876">
        <v>8641.4066800379351</v>
      </c>
      <c r="C876">
        <v>15961.641689962065</v>
      </c>
    </row>
    <row r="877" spans="1:3" x14ac:dyDescent="0.25">
      <c r="A877">
        <v>850</v>
      </c>
      <c r="B877">
        <v>15304.872973039617</v>
      </c>
      <c r="C877">
        <v>-6360.7578730396162</v>
      </c>
    </row>
    <row r="878" spans="1:3" x14ac:dyDescent="0.25">
      <c r="A878">
        <v>851</v>
      </c>
      <c r="B878">
        <v>11101.112902852552</v>
      </c>
      <c r="C878">
        <v>-1690.1079028525528</v>
      </c>
    </row>
    <row r="879" spans="1:3" x14ac:dyDescent="0.25">
      <c r="A879">
        <v>852</v>
      </c>
      <c r="B879">
        <v>6148.6675679438649</v>
      </c>
      <c r="C879">
        <v>1378.0388820561348</v>
      </c>
    </row>
    <row r="880" spans="1:3" x14ac:dyDescent="0.25">
      <c r="A880">
        <v>853</v>
      </c>
      <c r="B880">
        <v>12920.801829804353</v>
      </c>
      <c r="C880">
        <v>-4577.893079804353</v>
      </c>
    </row>
    <row r="881" spans="1:3" x14ac:dyDescent="0.25">
      <c r="A881">
        <v>854</v>
      </c>
      <c r="B881">
        <v>10425.224957675335</v>
      </c>
      <c r="C881">
        <v>-1600.1389576753354</v>
      </c>
    </row>
    <row r="882" spans="1:3" x14ac:dyDescent="0.25">
      <c r="A882">
        <v>855</v>
      </c>
      <c r="B882">
        <v>9259.7421267610953</v>
      </c>
      <c r="C882">
        <v>-1026.6446267610954</v>
      </c>
    </row>
    <row r="883" spans="1:3" x14ac:dyDescent="0.25">
      <c r="A883">
        <v>856</v>
      </c>
      <c r="B883">
        <v>10994.521186049285</v>
      </c>
      <c r="C883">
        <v>-2659.9315860492861</v>
      </c>
    </row>
    <row r="884" spans="1:3" x14ac:dyDescent="0.25">
      <c r="A884">
        <v>857</v>
      </c>
      <c r="B884">
        <v>7126.2480824055865</v>
      </c>
      <c r="C884">
        <v>2067.5904175944133</v>
      </c>
    </row>
    <row r="885" spans="1:3" x14ac:dyDescent="0.25">
      <c r="A885">
        <v>858</v>
      </c>
      <c r="B885">
        <v>11086.248835751909</v>
      </c>
      <c r="C885">
        <v>-2262.2630857519089</v>
      </c>
    </row>
    <row r="886" spans="1:3" x14ac:dyDescent="0.25">
      <c r="A886">
        <v>859</v>
      </c>
      <c r="B886">
        <v>11091.838114768298</v>
      </c>
      <c r="C886">
        <v>-1676.9181147682975</v>
      </c>
    </row>
    <row r="887" spans="1:3" x14ac:dyDescent="0.25">
      <c r="A887">
        <v>860</v>
      </c>
      <c r="B887">
        <v>35005.088146189926</v>
      </c>
      <c r="C887">
        <v>7106.576553810075</v>
      </c>
    </row>
    <row r="888" spans="1:3" x14ac:dyDescent="0.25">
      <c r="A888">
        <v>861</v>
      </c>
      <c r="B888">
        <v>10429.585733669104</v>
      </c>
      <c r="C888">
        <v>-332.61573366910488</v>
      </c>
    </row>
    <row r="889" spans="1:3" x14ac:dyDescent="0.25">
      <c r="A889">
        <v>862</v>
      </c>
      <c r="B889">
        <v>9159.1204429639238</v>
      </c>
      <c r="C889">
        <v>341.4526070360771</v>
      </c>
    </row>
    <row r="890" spans="1:3" x14ac:dyDescent="0.25">
      <c r="A890">
        <v>863</v>
      </c>
      <c r="B890">
        <v>31656.605057527755</v>
      </c>
      <c r="C890">
        <v>-9979.321607527756</v>
      </c>
    </row>
    <row r="891" spans="1:3" x14ac:dyDescent="0.25">
      <c r="A891">
        <v>864</v>
      </c>
      <c r="B891">
        <v>12990.380635324107</v>
      </c>
      <c r="C891">
        <v>-4643.2163353241067</v>
      </c>
    </row>
    <row r="892" spans="1:3" x14ac:dyDescent="0.25">
      <c r="A892">
        <v>865</v>
      </c>
      <c r="B892">
        <v>13700.062977760184</v>
      </c>
      <c r="C892">
        <v>-4966.833727760184</v>
      </c>
    </row>
    <row r="893" spans="1:3" x14ac:dyDescent="0.25">
      <c r="A893">
        <v>866</v>
      </c>
      <c r="B893">
        <v>35179.268657510918</v>
      </c>
      <c r="C893">
        <v>6482.3333424890807</v>
      </c>
    </row>
    <row r="894" spans="1:3" x14ac:dyDescent="0.25">
      <c r="A894">
        <v>867</v>
      </c>
      <c r="B894">
        <v>9464.879275305997</v>
      </c>
      <c r="C894">
        <v>-162.98572530599631</v>
      </c>
    </row>
    <row r="895" spans="1:3" x14ac:dyDescent="0.25">
      <c r="A895">
        <v>868</v>
      </c>
      <c r="B895">
        <v>12352.254740724411</v>
      </c>
      <c r="C895">
        <v>-2237.2458907244109</v>
      </c>
    </row>
    <row r="896" spans="1:3" x14ac:dyDescent="0.25">
      <c r="A896">
        <v>869</v>
      </c>
      <c r="B896">
        <v>10991.204062285722</v>
      </c>
      <c r="C896">
        <v>-584.11821228572262</v>
      </c>
    </row>
    <row r="897" spans="1:3" x14ac:dyDescent="0.25">
      <c r="A897">
        <v>870</v>
      </c>
      <c r="B897">
        <v>9157.4988172661924</v>
      </c>
      <c r="C897">
        <v>67.757582733807794</v>
      </c>
    </row>
    <row r="898" spans="1:3" x14ac:dyDescent="0.25">
      <c r="A898">
        <v>871</v>
      </c>
      <c r="B898">
        <v>9524.4094160766817</v>
      </c>
      <c r="C898">
        <v>191.43158392331861</v>
      </c>
    </row>
    <row r="899" spans="1:3" x14ac:dyDescent="0.25">
      <c r="A899">
        <v>872</v>
      </c>
      <c r="B899">
        <v>32479.303776131004</v>
      </c>
      <c r="C899">
        <v>-10500.626876131006</v>
      </c>
    </row>
    <row r="900" spans="1:3" x14ac:dyDescent="0.25">
      <c r="A900">
        <v>873</v>
      </c>
      <c r="B900">
        <v>11037.491761653491</v>
      </c>
      <c r="C900">
        <v>-1417.1610616534908</v>
      </c>
    </row>
    <row r="901" spans="1:3" x14ac:dyDescent="0.25">
      <c r="A901">
        <v>874</v>
      </c>
      <c r="B901">
        <v>15784.03844003787</v>
      </c>
      <c r="C901">
        <v>-7700.1186400378701</v>
      </c>
    </row>
    <row r="902" spans="1:3" x14ac:dyDescent="0.25">
      <c r="A902">
        <v>875</v>
      </c>
      <c r="B902">
        <v>8085.3528930669008</v>
      </c>
      <c r="C902">
        <v>454.31810693309944</v>
      </c>
    </row>
    <row r="903" spans="1:3" x14ac:dyDescent="0.25">
      <c r="A903">
        <v>876</v>
      </c>
      <c r="B903">
        <v>10748.292494477895</v>
      </c>
      <c r="C903">
        <v>10130.491935522105</v>
      </c>
    </row>
    <row r="904" spans="1:3" x14ac:dyDescent="0.25">
      <c r="A904">
        <v>877</v>
      </c>
      <c r="B904">
        <v>6788.2917411315739</v>
      </c>
      <c r="C904">
        <v>1639.7775588684253</v>
      </c>
    </row>
    <row r="905" spans="1:3" x14ac:dyDescent="0.25">
      <c r="A905">
        <v>878</v>
      </c>
      <c r="B905">
        <v>9942.4354852919205</v>
      </c>
      <c r="C905">
        <v>-1394.7441852919201</v>
      </c>
    </row>
    <row r="906" spans="1:3" x14ac:dyDescent="0.25">
      <c r="A906">
        <v>879</v>
      </c>
      <c r="B906">
        <v>36090.476511792134</v>
      </c>
      <c r="C906">
        <v>6879.3761882078688</v>
      </c>
    </row>
    <row r="907" spans="1:3" x14ac:dyDescent="0.25">
      <c r="A907">
        <v>880</v>
      </c>
      <c r="B907">
        <v>8246.2785942995724</v>
      </c>
      <c r="C907">
        <v>17990.301375700426</v>
      </c>
    </row>
    <row r="908" spans="1:3" x14ac:dyDescent="0.25">
      <c r="A908">
        <v>881</v>
      </c>
      <c r="B908">
        <v>12140.680564130203</v>
      </c>
      <c r="C908">
        <v>-4072.4955641302031</v>
      </c>
    </row>
    <row r="909" spans="1:3" x14ac:dyDescent="0.25">
      <c r="A909">
        <v>882</v>
      </c>
      <c r="B909">
        <v>9998.7594807233563</v>
      </c>
      <c r="C909">
        <v>-1067.8249307233564</v>
      </c>
    </row>
    <row r="910" spans="1:3" x14ac:dyDescent="0.25">
      <c r="A910">
        <v>883</v>
      </c>
      <c r="B910">
        <v>12076.310283637134</v>
      </c>
      <c r="C910">
        <v>-3519.4032836371352</v>
      </c>
    </row>
    <row r="911" spans="1:3" x14ac:dyDescent="0.25">
      <c r="A911">
        <v>884</v>
      </c>
      <c r="B911">
        <v>32784.681854483373</v>
      </c>
      <c r="C911">
        <v>-9719.2611544833744</v>
      </c>
    </row>
    <row r="912" spans="1:3" x14ac:dyDescent="0.25">
      <c r="A912">
        <v>885</v>
      </c>
      <c r="B912">
        <v>10885.460094515371</v>
      </c>
      <c r="C912">
        <v>-2822.6960945153705</v>
      </c>
    </row>
    <row r="913" spans="1:3" x14ac:dyDescent="0.25">
      <c r="A913">
        <v>886</v>
      </c>
      <c r="B913">
        <v>32709.427528893721</v>
      </c>
      <c r="C913">
        <v>-9308.1217788937211</v>
      </c>
    </row>
    <row r="914" spans="1:3" x14ac:dyDescent="0.25">
      <c r="A914">
        <v>887</v>
      </c>
      <c r="B914">
        <v>37307.455567100827</v>
      </c>
      <c r="C914">
        <v>6895.1980328991704</v>
      </c>
    </row>
    <row r="915" spans="1:3" x14ac:dyDescent="0.25">
      <c r="A915">
        <v>888</v>
      </c>
      <c r="B915">
        <v>6665.9882081947444</v>
      </c>
      <c r="C915">
        <v>1961.552891805256</v>
      </c>
    </row>
    <row r="916" spans="1:3" x14ac:dyDescent="0.25">
      <c r="A916">
        <v>889</v>
      </c>
      <c r="B916">
        <v>34329.1015912738</v>
      </c>
      <c r="C916">
        <v>-9413.8807412737988</v>
      </c>
    </row>
    <row r="917" spans="1:3" x14ac:dyDescent="0.25">
      <c r="A917">
        <v>890</v>
      </c>
      <c r="B917">
        <v>35913.458240436194</v>
      </c>
      <c r="C917">
        <v>6297.6799595638076</v>
      </c>
    </row>
    <row r="918" spans="1:3" x14ac:dyDescent="0.25">
      <c r="A918">
        <v>891</v>
      </c>
      <c r="B918">
        <v>15075.965354614116</v>
      </c>
      <c r="C918">
        <v>-6506.1035546141156</v>
      </c>
    </row>
    <row r="919" spans="1:3" x14ac:dyDescent="0.25">
      <c r="A919">
        <v>892</v>
      </c>
      <c r="B919">
        <v>34839.236064181365</v>
      </c>
      <c r="C919">
        <v>-9529.7470641813634</v>
      </c>
    </row>
    <row r="920" spans="1:3" x14ac:dyDescent="0.25">
      <c r="A920">
        <v>893</v>
      </c>
      <c r="B920">
        <v>10788.904673775769</v>
      </c>
      <c r="C920">
        <v>-2237.5576737757692</v>
      </c>
    </row>
    <row r="921" spans="1:3" x14ac:dyDescent="0.25">
      <c r="A921">
        <v>894</v>
      </c>
      <c r="B921">
        <v>35475.359579093623</v>
      </c>
      <c r="C921">
        <v>6200.7215209063797</v>
      </c>
    </row>
    <row r="922" spans="1:3" x14ac:dyDescent="0.25">
      <c r="A922">
        <v>895</v>
      </c>
      <c r="B922">
        <v>33672.143976254796</v>
      </c>
      <c r="C922">
        <v>-9136.4454262547952</v>
      </c>
    </row>
    <row r="923" spans="1:3" x14ac:dyDescent="0.25">
      <c r="A923">
        <v>896</v>
      </c>
      <c r="B923">
        <v>7843.5835872281896</v>
      </c>
      <c r="C923">
        <v>691.0882127718105</v>
      </c>
    </row>
    <row r="924" spans="1:3" x14ac:dyDescent="0.25">
      <c r="A924">
        <v>897</v>
      </c>
      <c r="B924">
        <v>33570.748415792812</v>
      </c>
      <c r="C924">
        <v>-10002.476415792811</v>
      </c>
    </row>
    <row r="925" spans="1:3" x14ac:dyDescent="0.25">
      <c r="A925">
        <v>898</v>
      </c>
      <c r="B925">
        <v>15437.949572648713</v>
      </c>
      <c r="C925">
        <v>-4404.2878726487124</v>
      </c>
    </row>
    <row r="926" spans="1:3" x14ac:dyDescent="0.25">
      <c r="A926">
        <v>899</v>
      </c>
      <c r="B926">
        <v>9832.9936397682977</v>
      </c>
      <c r="C926">
        <v>-2043.3586397682975</v>
      </c>
    </row>
    <row r="927" spans="1:3" x14ac:dyDescent="0.25">
      <c r="A927">
        <v>900</v>
      </c>
      <c r="B927">
        <v>31945.018079353133</v>
      </c>
      <c r="C927">
        <v>-10721.342279353132</v>
      </c>
    </row>
    <row r="928" spans="1:3" x14ac:dyDescent="0.25">
      <c r="A928">
        <v>901</v>
      </c>
      <c r="B928">
        <v>11120.780003619369</v>
      </c>
      <c r="C928">
        <v>-2249.628303619369</v>
      </c>
    </row>
    <row r="929" spans="1:3" x14ac:dyDescent="0.25">
      <c r="A929">
        <v>902</v>
      </c>
      <c r="B929">
        <v>10042.577805360475</v>
      </c>
      <c r="C929">
        <v>-793.08260536047601</v>
      </c>
    </row>
    <row r="930" spans="1:3" x14ac:dyDescent="0.25">
      <c r="A930">
        <v>903</v>
      </c>
      <c r="B930">
        <v>11616.811917405699</v>
      </c>
      <c r="C930">
        <v>-1573.5629174056994</v>
      </c>
    </row>
    <row r="931" spans="1:3" x14ac:dyDescent="0.25">
      <c r="A931">
        <v>904</v>
      </c>
      <c r="B931">
        <v>13633.972461830475</v>
      </c>
      <c r="C931">
        <v>-2897.1017118304753</v>
      </c>
    </row>
    <row r="932" spans="1:3" x14ac:dyDescent="0.25">
      <c r="A932">
        <v>905</v>
      </c>
      <c r="B932">
        <v>10868.126652684077</v>
      </c>
      <c r="C932">
        <v>-1904.0661026840771</v>
      </c>
    </row>
    <row r="933" spans="1:3" x14ac:dyDescent="0.25">
      <c r="A933">
        <v>906</v>
      </c>
      <c r="B933">
        <v>10940.923972228482</v>
      </c>
      <c r="C933">
        <v>-1972.593972228482</v>
      </c>
    </row>
    <row r="934" spans="1:3" x14ac:dyDescent="0.25">
      <c r="A934">
        <v>907</v>
      </c>
      <c r="B934">
        <v>12734.01703795014</v>
      </c>
      <c r="C934">
        <v>-3170.9880379501392</v>
      </c>
    </row>
    <row r="935" spans="1:3" x14ac:dyDescent="0.25">
      <c r="A935">
        <v>908</v>
      </c>
      <c r="B935">
        <v>38088.313603383576</v>
      </c>
      <c r="C935">
        <v>7613.708746616423</v>
      </c>
    </row>
    <row r="936" spans="1:3" x14ac:dyDescent="0.25">
      <c r="A936">
        <v>909</v>
      </c>
      <c r="B936">
        <v>11601.100101272139</v>
      </c>
      <c r="C936">
        <v>-1459.9639012721382</v>
      </c>
    </row>
    <row r="937" spans="1:3" x14ac:dyDescent="0.25">
      <c r="A937">
        <v>910</v>
      </c>
      <c r="B937">
        <v>10293.241145293736</v>
      </c>
      <c r="C937">
        <v>-2012.6184452937359</v>
      </c>
    </row>
    <row r="938" spans="1:3" x14ac:dyDescent="0.25">
      <c r="A938">
        <v>911</v>
      </c>
      <c r="B938">
        <v>12305.193164691826</v>
      </c>
      <c r="C938">
        <v>14087.067125308173</v>
      </c>
    </row>
    <row r="939" spans="1:3" x14ac:dyDescent="0.25">
      <c r="A939">
        <v>912</v>
      </c>
      <c r="B939">
        <v>9522.7877903789504</v>
      </c>
      <c r="C939">
        <v>-75.537440378950123</v>
      </c>
    </row>
    <row r="940" spans="1:3" x14ac:dyDescent="0.25">
      <c r="A940">
        <v>913</v>
      </c>
      <c r="B940">
        <v>34741.906766776949</v>
      </c>
      <c r="C940">
        <v>6232.2581332230548</v>
      </c>
    </row>
    <row r="941" spans="1:3" x14ac:dyDescent="0.25">
      <c r="A941">
        <v>914</v>
      </c>
      <c r="B941">
        <v>12549.800230565486</v>
      </c>
      <c r="C941">
        <v>15919.118779434515</v>
      </c>
    </row>
    <row r="942" spans="1:3" x14ac:dyDescent="0.25">
      <c r="A942">
        <v>915</v>
      </c>
      <c r="B942">
        <v>13196.340795531116</v>
      </c>
      <c r="C942">
        <v>-5392.1802955311159</v>
      </c>
    </row>
    <row r="943" spans="1:3" x14ac:dyDescent="0.25">
      <c r="A943">
        <v>916</v>
      </c>
      <c r="B943">
        <v>9800.808499521765</v>
      </c>
      <c r="C943">
        <v>11431.373760478236</v>
      </c>
    </row>
    <row r="944" spans="1:3" x14ac:dyDescent="0.25">
      <c r="A944">
        <v>917</v>
      </c>
      <c r="B944">
        <v>7612.2189627574426</v>
      </c>
      <c r="C944">
        <v>656.8250372425573</v>
      </c>
    </row>
    <row r="945" spans="1:3" x14ac:dyDescent="0.25">
      <c r="A945">
        <v>918</v>
      </c>
      <c r="B945">
        <v>11143.309601791943</v>
      </c>
      <c r="C945">
        <v>-2378.0606017919436</v>
      </c>
    </row>
    <row r="946" spans="1:3" x14ac:dyDescent="0.25">
      <c r="A946">
        <v>919</v>
      </c>
      <c r="B946">
        <v>9575.5125177960253</v>
      </c>
      <c r="C946">
        <v>-1297.9895177960261</v>
      </c>
    </row>
    <row r="947" spans="1:3" x14ac:dyDescent="0.25">
      <c r="A947">
        <v>920</v>
      </c>
      <c r="B947">
        <v>13222.850415707753</v>
      </c>
      <c r="C947">
        <v>-4244.6653157077526</v>
      </c>
    </row>
    <row r="948" spans="1:3" x14ac:dyDescent="0.25">
      <c r="A948">
        <v>921</v>
      </c>
      <c r="B948">
        <v>33825.772531719842</v>
      </c>
      <c r="C948">
        <v>-9644.8390317198428</v>
      </c>
    </row>
    <row r="949" spans="1:3" x14ac:dyDescent="0.25">
      <c r="A949">
        <v>922</v>
      </c>
      <c r="B949">
        <v>11157.325919859673</v>
      </c>
      <c r="C949">
        <v>-142.1512198596738</v>
      </c>
    </row>
    <row r="950" spans="1:3" x14ac:dyDescent="0.25">
      <c r="A950">
        <v>923</v>
      </c>
      <c r="B950">
        <v>9553.3636736131575</v>
      </c>
      <c r="C950">
        <v>-105.9812736131571</v>
      </c>
    </row>
    <row r="951" spans="1:3" x14ac:dyDescent="0.25">
      <c r="A951">
        <v>924</v>
      </c>
      <c r="B951">
        <v>12045.722031717522</v>
      </c>
      <c r="C951">
        <v>-3374.5307817175217</v>
      </c>
    </row>
    <row r="952" spans="1:3" x14ac:dyDescent="0.25">
      <c r="A952">
        <v>925</v>
      </c>
      <c r="B952">
        <v>11001.314230717488</v>
      </c>
      <c r="C952">
        <v>-2717.6335307174868</v>
      </c>
    </row>
    <row r="953" spans="1:3" x14ac:dyDescent="0.25">
      <c r="A953">
        <v>926</v>
      </c>
      <c r="B953">
        <v>9276.5590988075583</v>
      </c>
      <c r="C953">
        <v>-675.22979880755884</v>
      </c>
    </row>
    <row r="954" spans="1:3" x14ac:dyDescent="0.25">
      <c r="A954">
        <v>927</v>
      </c>
      <c r="B954">
        <v>10283.953988524076</v>
      </c>
      <c r="C954">
        <v>-2167.2739885240753</v>
      </c>
    </row>
    <row r="955" spans="1:3" x14ac:dyDescent="0.25">
      <c r="A955">
        <v>928</v>
      </c>
      <c r="B955">
        <v>9321.9990491424105</v>
      </c>
      <c r="C955">
        <v>-39.518449142409736</v>
      </c>
    </row>
    <row r="956" spans="1:3" x14ac:dyDescent="0.25">
      <c r="A956">
        <v>929</v>
      </c>
      <c r="B956">
        <v>12073.447786231374</v>
      </c>
      <c r="C956">
        <v>-3949.039386231374</v>
      </c>
    </row>
    <row r="957" spans="1:3" x14ac:dyDescent="0.25">
      <c r="A957">
        <v>930</v>
      </c>
      <c r="B957">
        <v>15773.043416516968</v>
      </c>
      <c r="C957">
        <v>-4795.8371165169683</v>
      </c>
    </row>
    <row r="958" spans="1:3" x14ac:dyDescent="0.25">
      <c r="A958">
        <v>931</v>
      </c>
      <c r="B958">
        <v>10911.944977321198</v>
      </c>
      <c r="C958">
        <v>-1133.597777321198</v>
      </c>
    </row>
    <row r="959" spans="1:3" x14ac:dyDescent="0.25">
      <c r="A959">
        <v>932</v>
      </c>
      <c r="B959">
        <v>11095.400276726443</v>
      </c>
      <c r="C959">
        <v>-1805.2607767264435</v>
      </c>
    </row>
    <row r="960" spans="1:3" x14ac:dyDescent="0.25">
      <c r="A960">
        <v>933</v>
      </c>
      <c r="B960">
        <v>12348.16374029603</v>
      </c>
      <c r="C960">
        <v>-2078.7037402960304</v>
      </c>
    </row>
    <row r="961" spans="1:3" x14ac:dyDescent="0.25">
      <c r="A961">
        <v>934</v>
      </c>
      <c r="B961">
        <v>13741.780312970959</v>
      </c>
      <c r="C961">
        <v>-3360.3016129709595</v>
      </c>
    </row>
    <row r="962" spans="1:3" x14ac:dyDescent="0.25">
      <c r="A962">
        <v>935</v>
      </c>
      <c r="B962">
        <v>13551.507231526701</v>
      </c>
      <c r="C962">
        <v>-4246.8053315267007</v>
      </c>
    </row>
    <row r="963" spans="1:3" x14ac:dyDescent="0.25">
      <c r="A963">
        <v>936</v>
      </c>
      <c r="B963">
        <v>33606.901209358002</v>
      </c>
      <c r="C963">
        <v>-9799.6606093580012</v>
      </c>
    </row>
    <row r="964" spans="1:3" x14ac:dyDescent="0.25">
      <c r="A964">
        <v>937</v>
      </c>
      <c r="B964">
        <v>13166.427810537407</v>
      </c>
      <c r="C964">
        <v>-1613.5238105374065</v>
      </c>
    </row>
    <row r="965" spans="1:3" x14ac:dyDescent="0.25">
      <c r="A965">
        <v>938</v>
      </c>
      <c r="B965">
        <v>33529.656872766318</v>
      </c>
      <c r="C965">
        <v>-10223.109872766319</v>
      </c>
    </row>
    <row r="966" spans="1:3" x14ac:dyDescent="0.25">
      <c r="A966">
        <v>939</v>
      </c>
      <c r="B966">
        <v>7860.79368194976</v>
      </c>
      <c r="C966">
        <v>1321.3763180502401</v>
      </c>
    </row>
    <row r="967" spans="1:3" x14ac:dyDescent="0.25">
      <c r="A967">
        <v>940</v>
      </c>
      <c r="B967">
        <v>15215.478982272516</v>
      </c>
      <c r="C967">
        <v>-5414.5907822725167</v>
      </c>
    </row>
    <row r="968" spans="1:3" x14ac:dyDescent="0.25">
      <c r="A968">
        <v>941</v>
      </c>
      <c r="B968">
        <v>10242.494060193287</v>
      </c>
      <c r="C968">
        <v>-1539.0380601932866</v>
      </c>
    </row>
    <row r="969" spans="1:3" x14ac:dyDescent="0.25">
      <c r="A969">
        <v>942</v>
      </c>
      <c r="B969">
        <v>8939.3766341983592</v>
      </c>
      <c r="C969">
        <v>1217.4065658016407</v>
      </c>
    </row>
    <row r="970" spans="1:3" x14ac:dyDescent="0.25">
      <c r="A970">
        <v>943</v>
      </c>
      <c r="B970">
        <v>11186.280177396147</v>
      </c>
      <c r="C970">
        <v>-921.83807739614713</v>
      </c>
    </row>
    <row r="971" spans="1:3" x14ac:dyDescent="0.25">
      <c r="A971">
        <v>944</v>
      </c>
      <c r="B971">
        <v>8282.4190191793568</v>
      </c>
      <c r="C971">
        <v>1284.5718808206439</v>
      </c>
    </row>
    <row r="972" spans="1:3" x14ac:dyDescent="0.25">
      <c r="A972">
        <v>945</v>
      </c>
      <c r="B972">
        <v>12196.132073157911</v>
      </c>
      <c r="C972">
        <v>-2612.2387731579111</v>
      </c>
    </row>
    <row r="973" spans="1:3" x14ac:dyDescent="0.25">
      <c r="A973">
        <v>946</v>
      </c>
      <c r="B973">
        <v>33438.309977053403</v>
      </c>
      <c r="C973">
        <v>-9331.3974270534018</v>
      </c>
    </row>
    <row r="974" spans="1:3" x14ac:dyDescent="0.25">
      <c r="A974">
        <v>947</v>
      </c>
      <c r="B974">
        <v>9727.531816248742</v>
      </c>
      <c r="C974">
        <v>16412.828483751258</v>
      </c>
    </row>
    <row r="975" spans="1:3" x14ac:dyDescent="0.25">
      <c r="A975">
        <v>948</v>
      </c>
      <c r="B975">
        <v>7778.3408203313929</v>
      </c>
      <c r="C975">
        <v>910.5180296686076</v>
      </c>
    </row>
    <row r="976" spans="1:3" x14ac:dyDescent="0.25">
      <c r="A976">
        <v>949</v>
      </c>
      <c r="B976">
        <v>12392.080674672063</v>
      </c>
      <c r="C976">
        <v>-4266.296174672063</v>
      </c>
    </row>
    <row r="977" spans="1:3" x14ac:dyDescent="0.25">
      <c r="A977">
        <v>950</v>
      </c>
      <c r="B977">
        <v>34288.464674605115</v>
      </c>
      <c r="C977">
        <v>5439.1493253948865</v>
      </c>
    </row>
    <row r="978" spans="1:3" x14ac:dyDescent="0.25">
      <c r="A978">
        <v>951</v>
      </c>
      <c r="B978">
        <v>10606.186144979123</v>
      </c>
      <c r="C978">
        <v>-1318.1594449791228</v>
      </c>
    </row>
    <row r="979" spans="1:3" x14ac:dyDescent="0.25">
      <c r="A979">
        <v>952</v>
      </c>
      <c r="B979">
        <v>10163.259712599573</v>
      </c>
      <c r="C979">
        <v>-1175.1009625995721</v>
      </c>
    </row>
    <row r="980" spans="1:3" x14ac:dyDescent="0.25">
      <c r="A980">
        <v>953</v>
      </c>
      <c r="B980">
        <v>12210.996140258554</v>
      </c>
      <c r="C980">
        <v>-1840.083590258555</v>
      </c>
    </row>
    <row r="981" spans="1:3" x14ac:dyDescent="0.25">
      <c r="A981">
        <v>954</v>
      </c>
      <c r="B981">
        <v>11167.337478552528</v>
      </c>
      <c r="C981">
        <v>8582.0459014474709</v>
      </c>
    </row>
    <row r="982" spans="1:3" x14ac:dyDescent="0.25">
      <c r="A982">
        <v>955</v>
      </c>
      <c r="B982">
        <v>34844.026729162128</v>
      </c>
      <c r="C982">
        <v>6253.1350208378717</v>
      </c>
    </row>
    <row r="983" spans="1:3" x14ac:dyDescent="0.25">
      <c r="A983">
        <v>956</v>
      </c>
      <c r="B983">
        <v>36555.428441244832</v>
      </c>
      <c r="C983">
        <v>6301.409558755171</v>
      </c>
    </row>
    <row r="984" spans="1:3" x14ac:dyDescent="0.25">
      <c r="A984">
        <v>957</v>
      </c>
      <c r="B984">
        <v>10099.638571400512</v>
      </c>
      <c r="C984">
        <v>-481.97612140051206</v>
      </c>
    </row>
    <row r="985" spans="1:3" x14ac:dyDescent="0.25">
      <c r="A985">
        <v>958</v>
      </c>
      <c r="B985">
        <v>9350.9533066788881</v>
      </c>
      <c r="C985">
        <v>-906.47930667888795</v>
      </c>
    </row>
    <row r="986" spans="1:3" x14ac:dyDescent="0.25">
      <c r="A986">
        <v>959</v>
      </c>
      <c r="B986">
        <v>11154.930417497126</v>
      </c>
      <c r="C986">
        <v>-2319.6654674971251</v>
      </c>
    </row>
    <row r="987" spans="1:3" x14ac:dyDescent="0.25">
      <c r="A987">
        <v>960</v>
      </c>
      <c r="B987">
        <v>35470.408460946928</v>
      </c>
      <c r="C987">
        <v>6448.6885390530733</v>
      </c>
    </row>
    <row r="988" spans="1:3" x14ac:dyDescent="0.25">
      <c r="A988">
        <v>961</v>
      </c>
      <c r="B988">
        <v>9029.1019042135467</v>
      </c>
      <c r="C988">
        <v>-97.017904213545989</v>
      </c>
    </row>
    <row r="989" spans="1:3" x14ac:dyDescent="0.25">
      <c r="A989">
        <v>962</v>
      </c>
      <c r="B989">
        <v>9900.4714558617034</v>
      </c>
      <c r="C989">
        <v>20384.1714841383</v>
      </c>
    </row>
    <row r="990" spans="1:3" x14ac:dyDescent="0.25">
      <c r="A990">
        <v>963</v>
      </c>
      <c r="B990">
        <v>9595.5603725525471</v>
      </c>
      <c r="C990">
        <v>16061.014887447454</v>
      </c>
    </row>
    <row r="991" spans="1:3" x14ac:dyDescent="0.25">
      <c r="A991">
        <v>964</v>
      </c>
      <c r="B991">
        <v>15672.495605087901</v>
      </c>
      <c r="C991">
        <v>-6613.7653050879017</v>
      </c>
    </row>
    <row r="992" spans="1:3" x14ac:dyDescent="0.25">
      <c r="A992">
        <v>965</v>
      </c>
      <c r="B992">
        <v>15190.947004412506</v>
      </c>
      <c r="C992">
        <v>-5649.2514544125061</v>
      </c>
    </row>
    <row r="993" spans="1:3" x14ac:dyDescent="0.25">
      <c r="A993">
        <v>966</v>
      </c>
      <c r="B993">
        <v>9313.0926463624546</v>
      </c>
      <c r="C993">
        <v>794.12795363754594</v>
      </c>
    </row>
    <row r="994" spans="1:3" x14ac:dyDescent="0.25">
      <c r="A994">
        <v>967</v>
      </c>
      <c r="B994">
        <v>9977.3350384636815</v>
      </c>
      <c r="C994">
        <v>128.79921153631767</v>
      </c>
    </row>
    <row r="995" spans="1:3" x14ac:dyDescent="0.25">
      <c r="A995">
        <v>968</v>
      </c>
      <c r="B995">
        <v>9289.801540210472</v>
      </c>
      <c r="C995">
        <v>-462.59164021047218</v>
      </c>
    </row>
    <row r="996" spans="1:3" x14ac:dyDescent="0.25">
      <c r="A996">
        <v>969</v>
      </c>
      <c r="B996">
        <v>10955.763301958319</v>
      </c>
      <c r="C996">
        <v>-1045.4034519583183</v>
      </c>
    </row>
    <row r="997" spans="1:3" x14ac:dyDescent="0.25">
      <c r="A997">
        <v>970</v>
      </c>
      <c r="B997">
        <v>33957.706869359819</v>
      </c>
      <c r="C997">
        <v>-9437.4428693598202</v>
      </c>
    </row>
    <row r="998" spans="1:3" x14ac:dyDescent="0.25">
      <c r="A998">
        <v>971</v>
      </c>
      <c r="B998">
        <v>12440.726770346166</v>
      </c>
      <c r="C998">
        <v>-3982.9087703461664</v>
      </c>
    </row>
    <row r="999" spans="1:3" x14ac:dyDescent="0.25">
      <c r="A999">
        <v>972</v>
      </c>
      <c r="B999">
        <v>12071.359165490432</v>
      </c>
      <c r="C999">
        <v>13261.973674509567</v>
      </c>
    </row>
    <row r="1000" spans="1:3" x14ac:dyDescent="0.25">
      <c r="A1000">
        <v>973</v>
      </c>
      <c r="B1000">
        <v>16097.339456342152</v>
      </c>
      <c r="C1000">
        <v>-6547.7743563421518</v>
      </c>
    </row>
    <row r="1001" spans="1:3" x14ac:dyDescent="0.25">
      <c r="A1001">
        <v>974</v>
      </c>
      <c r="B1001">
        <v>11273.548441366091</v>
      </c>
      <c r="C1001">
        <v>-570.90604136608999</v>
      </c>
    </row>
    <row r="1002" spans="1:3" x14ac:dyDescent="0.25">
      <c r="A1002">
        <v>975</v>
      </c>
      <c r="B1002">
        <v>11907.214950233109</v>
      </c>
      <c r="C1002">
        <v>-1788.7909502331077</v>
      </c>
    </row>
    <row r="1003" spans="1:3" x14ac:dyDescent="0.25">
      <c r="A1003">
        <v>976</v>
      </c>
      <c r="B1003">
        <v>13530.107526637841</v>
      </c>
      <c r="C1003">
        <v>-2230.7645266378404</v>
      </c>
    </row>
    <row r="1004" spans="1:3" x14ac:dyDescent="0.25">
      <c r="A1004">
        <v>977</v>
      </c>
      <c r="B1004">
        <v>10175.654404969571</v>
      </c>
      <c r="C1004">
        <v>318.29139503042825</v>
      </c>
    </row>
    <row r="1005" spans="1:3" x14ac:dyDescent="0.25">
      <c r="A1005">
        <v>978</v>
      </c>
      <c r="B1005">
        <v>11260.674385267477</v>
      </c>
      <c r="C1005">
        <v>-175.08758526747806</v>
      </c>
    </row>
    <row r="1006" spans="1:3" x14ac:dyDescent="0.25">
      <c r="A1006">
        <v>979</v>
      </c>
      <c r="B1006">
        <v>13194.23980610477</v>
      </c>
      <c r="C1006">
        <v>-4146.21250610477</v>
      </c>
    </row>
    <row r="1007" spans="1:3" x14ac:dyDescent="0.25">
      <c r="A1007">
        <v>980</v>
      </c>
      <c r="B1007">
        <v>12132.510931958846</v>
      </c>
      <c r="C1007">
        <v>-2502.1139319588456</v>
      </c>
    </row>
    <row r="1008" spans="1:3" x14ac:dyDescent="0.25">
      <c r="A1008">
        <v>981</v>
      </c>
      <c r="B1008">
        <v>8932.5464834739432</v>
      </c>
      <c r="C1008">
        <v>-489.87948347394376</v>
      </c>
    </row>
    <row r="1009" spans="1:3" x14ac:dyDescent="0.25">
      <c r="A1009">
        <v>982</v>
      </c>
      <c r="B1009">
        <v>12177.9508822937</v>
      </c>
      <c r="C1009">
        <v>-1577.4025822937001</v>
      </c>
    </row>
    <row r="1010" spans="1:3" x14ac:dyDescent="0.25">
      <c r="A1010">
        <v>983</v>
      </c>
      <c r="B1010">
        <v>13664.511239008467</v>
      </c>
      <c r="C1010">
        <v>-3786.9035390084664</v>
      </c>
    </row>
    <row r="1011" spans="1:3" x14ac:dyDescent="0.25">
      <c r="A1011">
        <v>984</v>
      </c>
      <c r="B1011">
        <v>6856.9733228767909</v>
      </c>
      <c r="C1011">
        <v>2787.2791771232096</v>
      </c>
    </row>
    <row r="1012" spans="1:3" x14ac:dyDescent="0.25">
      <c r="A1012">
        <v>985</v>
      </c>
      <c r="B1012">
        <v>10799.566762023716</v>
      </c>
      <c r="C1012">
        <v>720.53308797628415</v>
      </c>
    </row>
    <row r="1013" spans="1:3" x14ac:dyDescent="0.25">
      <c r="A1013">
        <v>986</v>
      </c>
      <c r="B1013">
        <v>8460.1740611438963</v>
      </c>
      <c r="C1013">
        <v>1394.9573388561039</v>
      </c>
    </row>
    <row r="1014" spans="1:3" x14ac:dyDescent="0.25">
      <c r="A1014">
        <v>987</v>
      </c>
      <c r="B1014">
        <v>7677.6943991634116</v>
      </c>
      <c r="C1014">
        <v>1587.1026008365889</v>
      </c>
    </row>
    <row r="1015" spans="1:3" x14ac:dyDescent="0.25">
      <c r="A1015">
        <v>988</v>
      </c>
      <c r="B1015">
        <v>14234.188221372122</v>
      </c>
      <c r="C1015">
        <v>-4354.1202213721226</v>
      </c>
    </row>
    <row r="1016" spans="1:3" x14ac:dyDescent="0.25">
      <c r="A1016">
        <v>989</v>
      </c>
      <c r="B1016">
        <v>32802.628719813547</v>
      </c>
      <c r="C1016">
        <v>-10584.513819813546</v>
      </c>
    </row>
    <row r="1017" spans="1:3" x14ac:dyDescent="0.25">
      <c r="A1017">
        <v>990</v>
      </c>
      <c r="B1017">
        <v>8263.4639516503339</v>
      </c>
      <c r="C1017">
        <v>1097.8628483496668</v>
      </c>
    </row>
    <row r="1018" spans="1:3" x14ac:dyDescent="0.25">
      <c r="A1018">
        <v>991</v>
      </c>
      <c r="B1018">
        <v>11963.145822989432</v>
      </c>
      <c r="C1018">
        <v>-2096.840972989432</v>
      </c>
    </row>
    <row r="1019" spans="1:3" x14ac:dyDescent="0.25">
      <c r="A1019">
        <v>992</v>
      </c>
      <c r="B1019">
        <v>9824.8240075969443</v>
      </c>
      <c r="C1019">
        <v>36.200992403055352</v>
      </c>
    </row>
    <row r="1020" spans="1:3" x14ac:dyDescent="0.25">
      <c r="A1020">
        <v>993</v>
      </c>
      <c r="B1020">
        <v>11229.324625368456</v>
      </c>
      <c r="C1020">
        <v>-2055.1889753684554</v>
      </c>
    </row>
    <row r="1021" spans="1:3" x14ac:dyDescent="0.25">
      <c r="A1021">
        <v>994</v>
      </c>
      <c r="B1021">
        <v>12022.688332445521</v>
      </c>
      <c r="C1021">
        <v>-2739.1263324455213</v>
      </c>
    </row>
    <row r="1022" spans="1:3" x14ac:dyDescent="0.25">
      <c r="A1022">
        <v>995</v>
      </c>
      <c r="B1022">
        <v>14298.558501865191</v>
      </c>
      <c r="C1022">
        <v>-4907.2125018651914</v>
      </c>
    </row>
    <row r="1023" spans="1:3" x14ac:dyDescent="0.25">
      <c r="A1023">
        <v>996</v>
      </c>
      <c r="B1023">
        <v>37108.619730810111</v>
      </c>
      <c r="C1023">
        <v>7291.7866691898889</v>
      </c>
    </row>
    <row r="1024" spans="1:3" x14ac:dyDescent="0.25">
      <c r="A1024">
        <v>997</v>
      </c>
      <c r="B1024">
        <v>13796.851068008962</v>
      </c>
      <c r="C1024">
        <v>-2948.7167680089624</v>
      </c>
    </row>
    <row r="1025" spans="1:3" x14ac:dyDescent="0.25">
      <c r="A1025">
        <v>998</v>
      </c>
      <c r="B1025">
        <v>14134.033532618159</v>
      </c>
      <c r="C1025">
        <v>-4258.3531326181601</v>
      </c>
    </row>
    <row r="1026" spans="1:3" x14ac:dyDescent="0.25">
      <c r="A1026">
        <v>999</v>
      </c>
      <c r="B1026">
        <v>13195.369699388479</v>
      </c>
      <c r="C1026">
        <v>-2634.8779993884782</v>
      </c>
    </row>
    <row r="1027" spans="1:3" x14ac:dyDescent="0.25">
      <c r="A1027">
        <v>1000</v>
      </c>
      <c r="B1027">
        <v>13098.052770669467</v>
      </c>
      <c r="C1027">
        <v>-3711.8914706694668</v>
      </c>
    </row>
    <row r="1028" spans="1:3" x14ac:dyDescent="0.25">
      <c r="A1028">
        <v>1001</v>
      </c>
      <c r="B1028">
        <v>12528.375788305813</v>
      </c>
      <c r="C1028">
        <v>-2655.6747883058142</v>
      </c>
    </row>
    <row r="1029" spans="1:3" x14ac:dyDescent="0.25">
      <c r="A1029">
        <v>1002</v>
      </c>
      <c r="B1029">
        <v>9222.5811309970486</v>
      </c>
      <c r="C1029">
        <v>-440.11213099704946</v>
      </c>
    </row>
    <row r="1030" spans="1:3" x14ac:dyDescent="0.25">
      <c r="A1030">
        <v>1003</v>
      </c>
      <c r="B1030">
        <v>38204.056761161381</v>
      </c>
      <c r="C1030">
        <v>8051.0557388386223</v>
      </c>
    </row>
    <row r="1031" spans="1:3" x14ac:dyDescent="0.25">
      <c r="A1031">
        <v>1004</v>
      </c>
      <c r="B1031">
        <v>39613.385149969872</v>
      </c>
      <c r="C1031">
        <v>7849.5088500301281</v>
      </c>
    </row>
    <row r="1032" spans="1:3" x14ac:dyDescent="0.25">
      <c r="A1032">
        <v>1005</v>
      </c>
      <c r="B1032">
        <v>33786.265508334865</v>
      </c>
      <c r="C1032">
        <v>-9818.8824583348651</v>
      </c>
    </row>
    <row r="1033" spans="1:3" x14ac:dyDescent="0.25">
      <c r="A1033">
        <v>1006</v>
      </c>
      <c r="B1033">
        <v>10449.215728379706</v>
      </c>
      <c r="C1033">
        <v>-491.49412837970522</v>
      </c>
    </row>
    <row r="1034" spans="1:3" x14ac:dyDescent="0.25">
      <c r="A1034">
        <v>1007</v>
      </c>
      <c r="B1034">
        <v>12956.057399595011</v>
      </c>
      <c r="C1034">
        <v>-4157.46439959501</v>
      </c>
    </row>
    <row r="1035" spans="1:3" x14ac:dyDescent="0.25">
      <c r="A1035">
        <v>1008</v>
      </c>
      <c r="B1035">
        <v>37057.885014395062</v>
      </c>
      <c r="C1035">
        <v>7583.3123856049351</v>
      </c>
    </row>
    <row r="1036" spans="1:3" x14ac:dyDescent="0.25">
      <c r="A1036">
        <v>1009</v>
      </c>
      <c r="B1036">
        <v>11916.858123621663</v>
      </c>
      <c r="C1036">
        <v>-1952.7981236216638</v>
      </c>
    </row>
    <row r="1037" spans="1:3" x14ac:dyDescent="0.25">
      <c r="A1037">
        <v>1010</v>
      </c>
      <c r="B1037">
        <v>14178.625733920097</v>
      </c>
      <c r="C1037">
        <v>-2741.8875839200973</v>
      </c>
    </row>
    <row r="1038" spans="1:3" x14ac:dyDescent="0.25">
      <c r="A1038">
        <v>1011</v>
      </c>
      <c r="B1038">
        <v>11186.255440025339</v>
      </c>
      <c r="C1038">
        <v>-1808.3507400253402</v>
      </c>
    </row>
    <row r="1039" spans="1:3" x14ac:dyDescent="0.25">
      <c r="A1039">
        <v>1012</v>
      </c>
      <c r="B1039">
        <v>11685.49349915092</v>
      </c>
      <c r="C1039">
        <v>-888.15729915092015</v>
      </c>
    </row>
    <row r="1040" spans="1:3" x14ac:dyDescent="0.25">
      <c r="A1040">
        <v>1013</v>
      </c>
      <c r="B1040">
        <v>13091.136378891544</v>
      </c>
      <c r="C1040">
        <v>-1602.8194288915438</v>
      </c>
    </row>
    <row r="1041" spans="1:3" x14ac:dyDescent="0.25">
      <c r="A1041">
        <v>1014</v>
      </c>
      <c r="B1041">
        <v>13342.647467857721</v>
      </c>
      <c r="C1041">
        <v>-3708.109467857721</v>
      </c>
    </row>
    <row r="1042" spans="1:3" x14ac:dyDescent="0.25">
      <c r="A1042">
        <v>1015</v>
      </c>
      <c r="B1042">
        <v>34364.73791505416</v>
      </c>
      <c r="C1042">
        <v>-9494.9011150541592</v>
      </c>
    </row>
    <row r="1043" spans="1:3" x14ac:dyDescent="0.25">
      <c r="A1043">
        <v>1016</v>
      </c>
      <c r="B1043">
        <v>11347.168772572604</v>
      </c>
      <c r="C1043">
        <v>-1721.2487725726041</v>
      </c>
    </row>
    <row r="1044" spans="1:3" x14ac:dyDescent="0.25">
      <c r="A1044">
        <v>1017</v>
      </c>
      <c r="B1044">
        <v>11222.788987580238</v>
      </c>
      <c r="C1044">
        <v>14770.032052419761</v>
      </c>
    </row>
    <row r="1045" spans="1:3" x14ac:dyDescent="0.25">
      <c r="A1045">
        <v>1018</v>
      </c>
      <c r="B1045">
        <v>12006.964147626555</v>
      </c>
      <c r="C1045">
        <v>-2284.1946476265548</v>
      </c>
    </row>
    <row r="1046" spans="1:3" x14ac:dyDescent="0.25">
      <c r="A1046">
        <v>1019</v>
      </c>
      <c r="B1046">
        <v>13117.351486131984</v>
      </c>
      <c r="C1046">
        <v>-3972.7864861319831</v>
      </c>
    </row>
    <row r="1047" spans="1:3" x14ac:dyDescent="0.25">
      <c r="A1047">
        <v>1020</v>
      </c>
      <c r="B1047">
        <v>33922.659231707526</v>
      </c>
      <c r="C1047">
        <v>-9529.0368317075263</v>
      </c>
    </row>
    <row r="1048" spans="1:3" x14ac:dyDescent="0.25">
      <c r="A1048">
        <v>1021</v>
      </c>
      <c r="B1048">
        <v>14605.066473501271</v>
      </c>
      <c r="C1048">
        <v>-3208.1662735012706</v>
      </c>
    </row>
    <row r="1049" spans="1:3" x14ac:dyDescent="0.25">
      <c r="A1049">
        <v>1022</v>
      </c>
      <c r="B1049">
        <v>12280.537839722096</v>
      </c>
      <c r="C1049">
        <v>-3139.5868397220966</v>
      </c>
    </row>
    <row r="1050" spans="1:3" x14ac:dyDescent="0.25">
      <c r="A1050">
        <v>1023</v>
      </c>
      <c r="B1050">
        <v>18719.46965897745</v>
      </c>
      <c r="C1050">
        <v>-6126.9351589774506</v>
      </c>
    </row>
    <row r="1051" spans="1:3" x14ac:dyDescent="0.25">
      <c r="A1051">
        <v>1024</v>
      </c>
      <c r="B1051">
        <v>12464.754647106751</v>
      </c>
      <c r="C1051">
        <v>-1277.0979471067512</v>
      </c>
    </row>
    <row r="1052" spans="1:3" x14ac:dyDescent="0.25">
      <c r="A1052">
        <v>1025</v>
      </c>
      <c r="B1052">
        <v>11498.819685721021</v>
      </c>
      <c r="C1052">
        <v>-1774.2896857210199</v>
      </c>
    </row>
    <row r="1053" spans="1:3" x14ac:dyDescent="0.25">
      <c r="A1053">
        <v>1026</v>
      </c>
      <c r="B1053">
        <v>14329.883524393403</v>
      </c>
      <c r="C1053">
        <v>19142.0883656066</v>
      </c>
    </row>
    <row r="1054" spans="1:3" x14ac:dyDescent="0.25">
      <c r="A1054">
        <v>1027</v>
      </c>
      <c r="B1054">
        <v>34206.649973856438</v>
      </c>
      <c r="C1054">
        <v>-9539.2309738564363</v>
      </c>
    </row>
    <row r="1055" spans="1:3" x14ac:dyDescent="0.25">
      <c r="A1055">
        <v>1028</v>
      </c>
      <c r="B1055">
        <v>14085.276458519744</v>
      </c>
      <c r="C1055">
        <v>12381.820911480256</v>
      </c>
    </row>
    <row r="1056" spans="1:3" x14ac:dyDescent="0.25">
      <c r="A1056">
        <v>1029</v>
      </c>
      <c r="B1056">
        <v>17144.09328496311</v>
      </c>
      <c r="C1056">
        <v>-7395.1826849631107</v>
      </c>
    </row>
    <row r="1057" spans="1:3" x14ac:dyDescent="0.25">
      <c r="A1057">
        <v>1030</v>
      </c>
      <c r="B1057">
        <v>11242.567066771369</v>
      </c>
      <c r="C1057">
        <v>11802.999093228629</v>
      </c>
    </row>
    <row r="1058" spans="1:3" x14ac:dyDescent="0.25">
      <c r="A1058">
        <v>1031</v>
      </c>
      <c r="B1058">
        <v>7206.5504798559878</v>
      </c>
      <c r="C1058">
        <v>2784.4871701440125</v>
      </c>
    </row>
    <row r="1059" spans="1:3" x14ac:dyDescent="0.25">
      <c r="A1059">
        <v>1032</v>
      </c>
      <c r="B1059">
        <v>9306.6308809423408</v>
      </c>
      <c r="C1059">
        <v>17811.362899057662</v>
      </c>
    </row>
    <row r="1060" spans="1:3" x14ac:dyDescent="0.25">
      <c r="A1060">
        <v>1033</v>
      </c>
      <c r="B1060">
        <v>13274.591678296789</v>
      </c>
      <c r="C1060">
        <v>-1985.4824282967893</v>
      </c>
    </row>
    <row r="1061" spans="1:3" x14ac:dyDescent="0.25">
      <c r="A1061">
        <v>1034</v>
      </c>
      <c r="B1061">
        <v>33356.58151735823</v>
      </c>
      <c r="C1061">
        <v>-9468.9188173582297</v>
      </c>
    </row>
    <row r="1062" spans="1:3" x14ac:dyDescent="0.25">
      <c r="A1062">
        <v>1035</v>
      </c>
      <c r="B1062">
        <v>12970.061348977335</v>
      </c>
      <c r="C1062">
        <v>-2163.2223489773351</v>
      </c>
    </row>
    <row r="1063" spans="1:3" x14ac:dyDescent="0.25">
      <c r="A1063">
        <v>1036</v>
      </c>
      <c r="B1063">
        <v>37636.357421114357</v>
      </c>
      <c r="C1063">
        <v>22385.041548885645</v>
      </c>
    </row>
    <row r="1064" spans="1:3" x14ac:dyDescent="0.25">
      <c r="A1064">
        <v>1037</v>
      </c>
      <c r="B1064">
        <v>39517.198114534571</v>
      </c>
      <c r="C1064">
        <v>7752.6558854654286</v>
      </c>
    </row>
    <row r="1065" spans="1:3" x14ac:dyDescent="0.25">
      <c r="A1065">
        <v>1038</v>
      </c>
      <c r="B1065">
        <v>8765.9205248005674</v>
      </c>
      <c r="C1065">
        <v>1431.8516751994321</v>
      </c>
    </row>
    <row r="1066" spans="1:3" x14ac:dyDescent="0.25">
      <c r="A1066">
        <v>1039</v>
      </c>
      <c r="B1066">
        <v>14675.873782043645</v>
      </c>
      <c r="C1066">
        <v>-4350.6677820436453</v>
      </c>
    </row>
    <row r="1067" spans="1:3" x14ac:dyDescent="0.25">
      <c r="A1067">
        <v>1040</v>
      </c>
      <c r="B1067">
        <v>17112.669652695986</v>
      </c>
      <c r="C1067">
        <v>-5700.9846526959864</v>
      </c>
    </row>
    <row r="1068" spans="1:3" x14ac:dyDescent="0.25">
      <c r="A1068">
        <v>1041</v>
      </c>
      <c r="B1068">
        <v>33212.116771553126</v>
      </c>
      <c r="C1068">
        <v>-9967.326571553127</v>
      </c>
    </row>
    <row r="1069" spans="1:3" x14ac:dyDescent="0.25">
      <c r="A1069">
        <v>1042</v>
      </c>
      <c r="B1069">
        <v>12027.785879047891</v>
      </c>
      <c r="C1069">
        <v>-286.05987904789072</v>
      </c>
    </row>
    <row r="1070" spans="1:3" x14ac:dyDescent="0.25">
      <c r="A1070">
        <v>1043</v>
      </c>
      <c r="B1070">
        <v>10017.062362672425</v>
      </c>
      <c r="C1070">
        <v>925.06968732757559</v>
      </c>
    </row>
    <row r="1071" spans="1:3" x14ac:dyDescent="0.25">
      <c r="A1071">
        <v>1044</v>
      </c>
      <c r="B1071">
        <v>14064.724502663796</v>
      </c>
      <c r="C1071">
        <v>-2901.1565026637963</v>
      </c>
    </row>
    <row r="1072" spans="1:3" x14ac:dyDescent="0.25">
      <c r="A1072">
        <v>1045</v>
      </c>
      <c r="B1072">
        <v>14083.654832822012</v>
      </c>
      <c r="C1072">
        <v>-3123.9601328220124</v>
      </c>
    </row>
    <row r="1073" spans="1:3" x14ac:dyDescent="0.25">
      <c r="A1073">
        <v>1046</v>
      </c>
      <c r="B1073">
        <v>10124.501828508608</v>
      </c>
      <c r="C1073">
        <v>231.13917149139161</v>
      </c>
    </row>
    <row r="1074" spans="1:3" x14ac:dyDescent="0.25">
      <c r="A1074">
        <v>1047</v>
      </c>
      <c r="B1074">
        <v>12264.813654903128</v>
      </c>
      <c r="C1074">
        <v>-1699.9291549031277</v>
      </c>
    </row>
    <row r="1075" spans="1:3" x14ac:dyDescent="0.25">
      <c r="A1075">
        <v>1048</v>
      </c>
      <c r="B1075">
        <v>15233.425847602692</v>
      </c>
      <c r="C1075">
        <v>5229.5718123973093</v>
      </c>
    </row>
    <row r="1076" spans="1:3" x14ac:dyDescent="0.25">
      <c r="A1076">
        <v>1049</v>
      </c>
      <c r="B1076">
        <v>34072.221524114997</v>
      </c>
      <c r="C1076">
        <v>-9198.8366241149961</v>
      </c>
    </row>
    <row r="1077" spans="1:3" x14ac:dyDescent="0.25">
      <c r="A1077">
        <v>1050</v>
      </c>
      <c r="B1077">
        <v>12065.646539364321</v>
      </c>
      <c r="C1077">
        <v>-1603.667139364321</v>
      </c>
    </row>
    <row r="1078" spans="1:3" x14ac:dyDescent="0.25">
      <c r="A1078">
        <v>1051</v>
      </c>
      <c r="B1078">
        <v>11653.29599021898</v>
      </c>
      <c r="C1078">
        <v>15692.74607978102</v>
      </c>
    </row>
    <row r="1079" spans="1:3" x14ac:dyDescent="0.25">
      <c r="A1079">
        <v>1052</v>
      </c>
      <c r="B1079">
        <v>13655.592467543109</v>
      </c>
      <c r="C1079">
        <v>-3569.7464675431092</v>
      </c>
    </row>
    <row r="1080" spans="1:3" x14ac:dyDescent="0.25">
      <c r="A1080">
        <v>1053</v>
      </c>
      <c r="B1080">
        <v>14782.072376171804</v>
      </c>
      <c r="C1080">
        <v>-4202.3613761718043</v>
      </c>
    </row>
    <row r="1081" spans="1:3" x14ac:dyDescent="0.25">
      <c r="A1081">
        <v>1054</v>
      </c>
      <c r="B1081">
        <v>9390.6806308876294</v>
      </c>
      <c r="C1081">
        <v>472.79116911236997</v>
      </c>
    </row>
    <row r="1082" spans="1:3" x14ac:dyDescent="0.25">
      <c r="A1082">
        <v>1055</v>
      </c>
      <c r="B1082">
        <v>11010.354693267705</v>
      </c>
      <c r="C1082">
        <v>234.02220673229385</v>
      </c>
    </row>
    <row r="1083" spans="1:3" x14ac:dyDescent="0.25">
      <c r="A1083">
        <v>1056</v>
      </c>
      <c r="B1083">
        <v>12906.059453788566</v>
      </c>
      <c r="C1083">
        <v>16280.422906211435</v>
      </c>
    </row>
    <row r="1084" spans="1:3" x14ac:dyDescent="0.25">
      <c r="A1084">
        <v>1057</v>
      </c>
      <c r="B1084">
        <v>14910.432183168234</v>
      </c>
      <c r="C1084">
        <v>-5406.1218831682345</v>
      </c>
    </row>
    <row r="1085" spans="1:3" x14ac:dyDescent="0.25">
      <c r="A1085">
        <v>1058</v>
      </c>
      <c r="B1085">
        <v>14763.522800003293</v>
      </c>
      <c r="C1085">
        <v>-3498.9818000032938</v>
      </c>
    </row>
    <row r="1086" spans="1:3" x14ac:dyDescent="0.25">
      <c r="A1086">
        <v>1059</v>
      </c>
      <c r="B1086">
        <v>8924.3768513025898</v>
      </c>
      <c r="C1086">
        <v>1141.0361486974107</v>
      </c>
    </row>
    <row r="1087" spans="1:3" x14ac:dyDescent="0.25">
      <c r="A1087">
        <v>1060</v>
      </c>
      <c r="B1087">
        <v>36351.396448612824</v>
      </c>
      <c r="C1087">
        <v>6903.0215013871784</v>
      </c>
    </row>
    <row r="1088" spans="1:3" x14ac:dyDescent="0.25">
      <c r="A1088">
        <v>1061</v>
      </c>
      <c r="B1088">
        <v>11103.691599982654</v>
      </c>
      <c r="C1088">
        <v>47.08840001734643</v>
      </c>
    </row>
    <row r="1089" spans="1:3" x14ac:dyDescent="0.25">
      <c r="A1089">
        <v>1062</v>
      </c>
      <c r="B1089">
        <v>10858.323026129585</v>
      </c>
      <c r="C1089">
        <v>-988.51282612958494</v>
      </c>
    </row>
    <row r="1090" spans="1:3" x14ac:dyDescent="0.25">
      <c r="A1090">
        <v>1063</v>
      </c>
      <c r="B1090">
        <v>32101.348679057995</v>
      </c>
      <c r="C1090">
        <v>-10905.530679057996</v>
      </c>
    </row>
    <row r="1091" spans="1:3" x14ac:dyDescent="0.25">
      <c r="A1091">
        <v>1064</v>
      </c>
      <c r="B1091">
        <v>11378.113041111112</v>
      </c>
      <c r="C1091">
        <v>-1306.0579911111108</v>
      </c>
    </row>
    <row r="1092" spans="1:3" x14ac:dyDescent="0.25">
      <c r="A1092">
        <v>1065</v>
      </c>
      <c r="B1092">
        <v>10154.229962709896</v>
      </c>
      <c r="C1092">
        <v>1575.4495372901038</v>
      </c>
    </row>
    <row r="1093" spans="1:3" x14ac:dyDescent="0.25">
      <c r="A1093">
        <v>1066</v>
      </c>
      <c r="B1093">
        <v>11051.43386760879</v>
      </c>
      <c r="C1093">
        <v>-1563.7896676087894</v>
      </c>
    </row>
    <row r="1094" spans="1:3" x14ac:dyDescent="0.25">
      <c r="A1094">
        <v>1067</v>
      </c>
      <c r="B1094">
        <v>12188.711580280562</v>
      </c>
      <c r="C1094">
        <v>-935.2905802805617</v>
      </c>
    </row>
    <row r="1095" spans="1:3" x14ac:dyDescent="0.25">
      <c r="A1095">
        <v>1068</v>
      </c>
      <c r="B1095">
        <v>38658.604009246119</v>
      </c>
      <c r="C1095">
        <v>8002.838390753881</v>
      </c>
    </row>
    <row r="1096" spans="1:3" x14ac:dyDescent="0.25">
      <c r="A1096">
        <v>1069</v>
      </c>
      <c r="B1096">
        <v>13154.634172980885</v>
      </c>
      <c r="C1096">
        <v>-1049.3141729808849</v>
      </c>
    </row>
    <row r="1097" spans="1:3" x14ac:dyDescent="0.25">
      <c r="A1097">
        <v>1070</v>
      </c>
      <c r="B1097">
        <v>13118.469010730289</v>
      </c>
      <c r="C1097">
        <v>-2293.2153107302893</v>
      </c>
    </row>
    <row r="1098" spans="1:3" x14ac:dyDescent="0.25">
      <c r="A1098">
        <v>1071</v>
      </c>
      <c r="B1098">
        <v>13508.67071569276</v>
      </c>
      <c r="C1098">
        <v>13814.06314430724</v>
      </c>
    </row>
    <row r="1099" spans="1:3" x14ac:dyDescent="0.25">
      <c r="A1099">
        <v>1072</v>
      </c>
      <c r="B1099">
        <v>15039.921883448376</v>
      </c>
      <c r="C1099">
        <v>-4589.3698834483766</v>
      </c>
    </row>
    <row r="1100" spans="1:3" x14ac:dyDescent="0.25">
      <c r="A1100">
        <v>1073</v>
      </c>
      <c r="B1100">
        <v>11692.667297808825</v>
      </c>
      <c r="C1100">
        <v>-1256.571297808825</v>
      </c>
    </row>
    <row r="1101" spans="1:3" x14ac:dyDescent="0.25">
      <c r="A1101">
        <v>1074</v>
      </c>
      <c r="B1101">
        <v>11483.083132216647</v>
      </c>
      <c r="C1101">
        <v>12993.395377783354</v>
      </c>
    </row>
    <row r="1102" spans="1:3" x14ac:dyDescent="0.25">
      <c r="A1102">
        <v>1075</v>
      </c>
      <c r="B1102">
        <v>37590.044984375774</v>
      </c>
      <c r="C1102">
        <v>6670.7049156242283</v>
      </c>
    </row>
    <row r="1103" spans="1:3" x14ac:dyDescent="0.25">
      <c r="A1103">
        <v>1076</v>
      </c>
      <c r="B1103">
        <v>40108.912962656774</v>
      </c>
      <c r="C1103">
        <v>8440.2653873432282</v>
      </c>
    </row>
    <row r="1104" spans="1:3" x14ac:dyDescent="0.25">
      <c r="A1104">
        <v>1077</v>
      </c>
      <c r="B1104">
        <v>12369.783746008663</v>
      </c>
      <c r="C1104">
        <v>-1934.7184960086634</v>
      </c>
    </row>
    <row r="1105" spans="1:3" x14ac:dyDescent="0.25">
      <c r="A1105">
        <v>1078</v>
      </c>
      <c r="B1105">
        <v>35131.481023530272</v>
      </c>
      <c r="C1105">
        <v>-9749.1840235302734</v>
      </c>
    </row>
    <row r="1106" spans="1:3" x14ac:dyDescent="0.25">
      <c r="A1106">
        <v>1079</v>
      </c>
      <c r="B1106">
        <v>10151.760587979248</v>
      </c>
      <c r="C1106">
        <v>2323.5907120207521</v>
      </c>
    </row>
    <row r="1107" spans="1:3" x14ac:dyDescent="0.25">
      <c r="A1107">
        <v>1080</v>
      </c>
      <c r="B1107">
        <v>40891.478865690762</v>
      </c>
      <c r="C1107">
        <v>22878.949144309241</v>
      </c>
    </row>
    <row r="1108" spans="1:3" x14ac:dyDescent="0.25">
      <c r="A1108">
        <v>1081</v>
      </c>
      <c r="B1108">
        <v>11544.234898685063</v>
      </c>
      <c r="C1108">
        <v>-1312.7349986850622</v>
      </c>
    </row>
    <row r="1109" spans="1:3" x14ac:dyDescent="0.25">
      <c r="A1109">
        <v>1082</v>
      </c>
      <c r="B1109">
        <v>17798.56915656606</v>
      </c>
      <c r="C1109">
        <v>-6260.1481565660597</v>
      </c>
    </row>
    <row r="1110" spans="1:3" x14ac:dyDescent="0.25">
      <c r="A1110">
        <v>1083</v>
      </c>
      <c r="B1110">
        <v>12339.207862774456</v>
      </c>
      <c r="C1110">
        <v>-1415.2746627744564</v>
      </c>
    </row>
    <row r="1111" spans="1:3" x14ac:dyDescent="0.25">
      <c r="A1111">
        <v>1084</v>
      </c>
      <c r="B1111">
        <v>9530.206627231435</v>
      </c>
      <c r="C1111">
        <v>1483.5052727685652</v>
      </c>
    </row>
    <row r="1112" spans="1:3" x14ac:dyDescent="0.25">
      <c r="A1112">
        <v>1085</v>
      </c>
      <c r="B1112">
        <v>9556.8024884615807</v>
      </c>
      <c r="C1112">
        <v>866.11416153841856</v>
      </c>
    </row>
    <row r="1113" spans="1:3" x14ac:dyDescent="0.25">
      <c r="A1113">
        <v>1086</v>
      </c>
      <c r="B1113">
        <v>36019.029386355207</v>
      </c>
      <c r="C1113">
        <v>5980.4906136447898</v>
      </c>
    </row>
    <row r="1114" spans="1:3" x14ac:dyDescent="0.25">
      <c r="A1114">
        <v>1087</v>
      </c>
      <c r="B1114">
        <v>10488.943052588449</v>
      </c>
      <c r="C1114">
        <v>15028.170577411551</v>
      </c>
    </row>
    <row r="1115" spans="1:3" x14ac:dyDescent="0.25">
      <c r="A1115">
        <v>1088</v>
      </c>
      <c r="B1115">
        <v>14768.718956344572</v>
      </c>
      <c r="C1115">
        <v>-2273.4281063445724</v>
      </c>
    </row>
    <row r="1116" spans="1:3" x14ac:dyDescent="0.25">
      <c r="A1116">
        <v>1089</v>
      </c>
      <c r="B1116">
        <v>11991.608348111888</v>
      </c>
      <c r="C1116">
        <v>-2141.1763481118869</v>
      </c>
    </row>
    <row r="1117" spans="1:3" x14ac:dyDescent="0.25">
      <c r="A1117">
        <v>1090</v>
      </c>
      <c r="B1117">
        <v>10644.193233751221</v>
      </c>
      <c r="C1117">
        <v>1450.2847662487784</v>
      </c>
    </row>
    <row r="1118" spans="1:3" x14ac:dyDescent="0.25">
      <c r="A1118">
        <v>1091</v>
      </c>
      <c r="B1118">
        <v>12561.666084465247</v>
      </c>
      <c r="C1118">
        <v>-1632.8170844652468</v>
      </c>
    </row>
    <row r="1119" spans="1:3" x14ac:dyDescent="0.25">
      <c r="A1119">
        <v>1092</v>
      </c>
      <c r="B1119">
        <v>12063.177164633671</v>
      </c>
      <c r="C1119">
        <v>33.47403536632919</v>
      </c>
    </row>
    <row r="1120" spans="1:3" x14ac:dyDescent="0.25">
      <c r="A1120">
        <v>1093</v>
      </c>
      <c r="B1120">
        <v>11875.741843224363</v>
      </c>
      <c r="C1120">
        <v>-1536.8102432243631</v>
      </c>
    </row>
    <row r="1121" spans="1:3" x14ac:dyDescent="0.25">
      <c r="A1121">
        <v>1094</v>
      </c>
      <c r="B1121">
        <v>12690.406645451383</v>
      </c>
      <c r="C1121">
        <v>-1178.0016454513825</v>
      </c>
    </row>
    <row r="1122" spans="1:3" x14ac:dyDescent="0.25">
      <c r="A1122">
        <v>1095</v>
      </c>
      <c r="B1122">
        <v>11160.764734708095</v>
      </c>
      <c r="C1122">
        <v>1318.9442152919055</v>
      </c>
    </row>
    <row r="1123" spans="1:3" x14ac:dyDescent="0.25">
      <c r="A1123">
        <v>1096</v>
      </c>
      <c r="B1123">
        <v>11192.188366975219</v>
      </c>
      <c r="C1123">
        <v>113.7461830247812</v>
      </c>
    </row>
    <row r="1124" spans="1:3" x14ac:dyDescent="0.25">
      <c r="A1124">
        <v>1097</v>
      </c>
      <c r="B1124">
        <v>13574.637884512751</v>
      </c>
      <c r="C1124">
        <v>-1306.0056345127505</v>
      </c>
    </row>
    <row r="1125" spans="1:3" x14ac:dyDescent="0.25">
      <c r="A1125">
        <v>1098</v>
      </c>
      <c r="B1125">
        <v>14084.010849440907</v>
      </c>
      <c r="C1125">
        <v>6546.2726605590942</v>
      </c>
    </row>
    <row r="1126" spans="1:3" x14ac:dyDescent="0.25">
      <c r="A1126">
        <v>1099</v>
      </c>
      <c r="B1126">
        <v>10762.504375998584</v>
      </c>
      <c r="C1126">
        <v>320.07282400141594</v>
      </c>
    </row>
    <row r="1127" spans="1:3" x14ac:dyDescent="0.25">
      <c r="A1127">
        <v>1100</v>
      </c>
      <c r="B1127">
        <v>14399.425223856942</v>
      </c>
      <c r="C1127">
        <v>-4173.1410238569424</v>
      </c>
    </row>
    <row r="1128" spans="1:3" x14ac:dyDescent="0.25">
      <c r="A1128">
        <v>1101</v>
      </c>
      <c r="B1128">
        <v>12584.944821931826</v>
      </c>
      <c r="C1128">
        <v>-703.5868219318254</v>
      </c>
    </row>
    <row r="1129" spans="1:3" x14ac:dyDescent="0.25">
      <c r="A1129">
        <v>1102</v>
      </c>
      <c r="B1129">
        <v>14403.785999850712</v>
      </c>
      <c r="C1129">
        <v>-2416.6177998507119</v>
      </c>
    </row>
    <row r="1130" spans="1:3" x14ac:dyDescent="0.25">
      <c r="A1130">
        <v>1103</v>
      </c>
      <c r="B1130">
        <v>11178.07343916858</v>
      </c>
      <c r="C1130">
        <v>23982.061130831422</v>
      </c>
    </row>
    <row r="1131" spans="1:3" x14ac:dyDescent="0.25">
      <c r="A1131">
        <v>1104</v>
      </c>
      <c r="B1131">
        <v>11663.221307858328</v>
      </c>
      <c r="C1131">
        <v>1384.1110421416724</v>
      </c>
    </row>
    <row r="1132" spans="1:3" x14ac:dyDescent="0.25">
      <c r="A1132">
        <v>1105</v>
      </c>
      <c r="B1132">
        <v>12978.832035962167</v>
      </c>
      <c r="C1132">
        <v>-1099.7279859621667</v>
      </c>
    </row>
    <row r="1133" spans="1:3" x14ac:dyDescent="0.25">
      <c r="A1133">
        <v>1106</v>
      </c>
      <c r="B1133">
        <v>35766.363666734505</v>
      </c>
      <c r="C1133">
        <v>6537.3284832654972</v>
      </c>
    </row>
    <row r="1134" spans="1:3" x14ac:dyDescent="0.25">
      <c r="A1134">
        <v>1107</v>
      </c>
      <c r="B1134">
        <v>12700.04981883994</v>
      </c>
      <c r="C1134">
        <v>8081.4391011600601</v>
      </c>
    </row>
    <row r="1135" spans="1:3" x14ac:dyDescent="0.25">
      <c r="A1135">
        <v>1108</v>
      </c>
      <c r="B1135">
        <v>12726.559439016577</v>
      </c>
      <c r="C1135">
        <v>-844.58983901657666</v>
      </c>
    </row>
    <row r="1136" spans="1:3" x14ac:dyDescent="0.25">
      <c r="A1136">
        <v>1109</v>
      </c>
      <c r="B1136">
        <v>14019.64056894784</v>
      </c>
      <c r="C1136">
        <v>-3305.9965689478395</v>
      </c>
    </row>
    <row r="1137" spans="1:3" x14ac:dyDescent="0.25">
      <c r="A1137">
        <v>1110</v>
      </c>
      <c r="B1137">
        <v>16634.216218935529</v>
      </c>
      <c r="C1137">
        <v>-4148.4153189355293</v>
      </c>
    </row>
    <row r="1138" spans="1:3" x14ac:dyDescent="0.25">
      <c r="A1138">
        <v>1111</v>
      </c>
      <c r="B1138">
        <v>12627.633253285238</v>
      </c>
      <c r="C1138">
        <v>-2026.0010032852369</v>
      </c>
    </row>
    <row r="1139" spans="1:3" x14ac:dyDescent="0.25">
      <c r="A1139">
        <v>1112</v>
      </c>
      <c r="B1139">
        <v>13819.24495038641</v>
      </c>
      <c r="C1139">
        <v>-1549.5563003864099</v>
      </c>
    </row>
    <row r="1140" spans="1:3" x14ac:dyDescent="0.25">
      <c r="A1140">
        <v>1113</v>
      </c>
      <c r="B1140">
        <v>37219.522748865522</v>
      </c>
      <c r="C1140">
        <v>7204.280251134478</v>
      </c>
    </row>
    <row r="1141" spans="1:3" x14ac:dyDescent="0.25">
      <c r="A1141">
        <v>1114</v>
      </c>
      <c r="B1141">
        <v>13896.108532988388</v>
      </c>
      <c r="C1141">
        <v>-2502.0429829883888</v>
      </c>
    </row>
    <row r="1142" spans="1:3" x14ac:dyDescent="0.25">
      <c r="A1142">
        <v>1115</v>
      </c>
      <c r="B1142">
        <v>10976.535558638036</v>
      </c>
      <c r="C1142">
        <v>-382.03400863803472</v>
      </c>
    </row>
    <row r="1143" spans="1:3" x14ac:dyDescent="0.25">
      <c r="A1143">
        <v>1116</v>
      </c>
      <c r="B1143">
        <v>11404.597923916941</v>
      </c>
      <c r="C1143">
        <v>-608.24767391694149</v>
      </c>
    </row>
    <row r="1144" spans="1:3" x14ac:dyDescent="0.25">
      <c r="A1144">
        <v>1117</v>
      </c>
      <c r="B1144">
        <v>11679.780873024807</v>
      </c>
      <c r="C1144">
        <v>-393.24217302480793</v>
      </c>
    </row>
    <row r="1145" spans="1:3" x14ac:dyDescent="0.25">
      <c r="A1145">
        <v>1118</v>
      </c>
      <c r="B1145">
        <v>13067.341171640135</v>
      </c>
      <c r="C1145">
        <v>-2259.8548716401347</v>
      </c>
    </row>
    <row r="1146" spans="1:3" x14ac:dyDescent="0.25">
      <c r="A1146">
        <v>1119</v>
      </c>
      <c r="B1146">
        <v>11702.310471197381</v>
      </c>
      <c r="C1146">
        <v>-1487.6744711973806</v>
      </c>
    </row>
    <row r="1147" spans="1:3" x14ac:dyDescent="0.25">
      <c r="A1147">
        <v>1120</v>
      </c>
      <c r="B1147">
        <v>9472.2610061022715</v>
      </c>
      <c r="C1147">
        <v>1319.6989938977276</v>
      </c>
    </row>
    <row r="1148" spans="1:3" x14ac:dyDescent="0.25">
      <c r="A1148">
        <v>1121</v>
      </c>
      <c r="B1148">
        <v>15638.086128305296</v>
      </c>
      <c r="C1148">
        <v>14425.494421694702</v>
      </c>
    </row>
    <row r="1149" spans="1:3" x14ac:dyDescent="0.25">
      <c r="A1149">
        <v>1122</v>
      </c>
      <c r="B1149">
        <v>11895.421312676586</v>
      </c>
      <c r="C1149">
        <v>-1190.9513126765869</v>
      </c>
    </row>
    <row r="1150" spans="1:3" x14ac:dyDescent="0.25">
      <c r="A1150">
        <v>1123</v>
      </c>
      <c r="B1150">
        <v>15152.925890930141</v>
      </c>
      <c r="C1150">
        <v>-4062.2080909301403</v>
      </c>
    </row>
    <row r="1151" spans="1:3" x14ac:dyDescent="0.25">
      <c r="A1151">
        <v>1124</v>
      </c>
      <c r="B1151">
        <v>15307.414564113504</v>
      </c>
      <c r="C1151">
        <v>-4705.0295641135035</v>
      </c>
    </row>
    <row r="1152" spans="1:3" x14ac:dyDescent="0.25">
      <c r="A1152">
        <v>1125</v>
      </c>
      <c r="B1152">
        <v>11091.161191817531</v>
      </c>
      <c r="C1152">
        <v>-17.985191817531813</v>
      </c>
    </row>
    <row r="1153" spans="1:3" x14ac:dyDescent="0.25">
      <c r="A1153">
        <v>1126</v>
      </c>
      <c r="B1153">
        <v>32569.138368545639</v>
      </c>
      <c r="C1153">
        <v>-10156.489868545639</v>
      </c>
    </row>
    <row r="1154" spans="1:3" x14ac:dyDescent="0.25">
      <c r="A1154">
        <v>1127</v>
      </c>
      <c r="B1154">
        <v>11371.552665952086</v>
      </c>
      <c r="C1154">
        <v>672.78933404791496</v>
      </c>
    </row>
    <row r="1155" spans="1:3" x14ac:dyDescent="0.25">
      <c r="A1155">
        <v>1128</v>
      </c>
      <c r="B1155">
        <v>36972.06555427151</v>
      </c>
      <c r="C1155">
        <v>6949.1181457284911</v>
      </c>
    </row>
    <row r="1156" spans="1:3" x14ac:dyDescent="0.25">
      <c r="A1156">
        <v>1129</v>
      </c>
      <c r="B1156">
        <v>15356.453782462715</v>
      </c>
      <c r="C1156">
        <v>-3090.9468824627147</v>
      </c>
    </row>
    <row r="1157" spans="1:3" x14ac:dyDescent="0.25">
      <c r="A1157">
        <v>1130</v>
      </c>
      <c r="B1157">
        <v>11601.295664725098</v>
      </c>
      <c r="C1157">
        <v>57.083485274903069</v>
      </c>
    </row>
    <row r="1158" spans="1:3" x14ac:dyDescent="0.25">
      <c r="A1158">
        <v>1131</v>
      </c>
      <c r="B1158">
        <v>14153.110291232044</v>
      </c>
      <c r="C1158">
        <v>-722.84529123204447</v>
      </c>
    </row>
    <row r="1159" spans="1:3" x14ac:dyDescent="0.25">
      <c r="A1159">
        <v>1132</v>
      </c>
      <c r="B1159">
        <v>35213.528393788125</v>
      </c>
      <c r="C1159">
        <v>-9104.1993437881247</v>
      </c>
    </row>
    <row r="1160" spans="1:3" x14ac:dyDescent="0.25">
      <c r="A1160">
        <v>1133</v>
      </c>
      <c r="B1160">
        <v>10592.291517996253</v>
      </c>
      <c r="C1160">
        <v>861.72998200374786</v>
      </c>
    </row>
    <row r="1161" spans="1:3" x14ac:dyDescent="0.25">
      <c r="A1161">
        <v>1134</v>
      </c>
      <c r="B1161">
        <v>15082.118582387766</v>
      </c>
      <c r="C1161">
        <v>-4480.7065823877656</v>
      </c>
    </row>
    <row r="1162" spans="1:3" x14ac:dyDescent="0.25">
      <c r="A1162">
        <v>1135</v>
      </c>
      <c r="B1162">
        <v>10684.019167698874</v>
      </c>
      <c r="C1162">
        <v>481.39848230112511</v>
      </c>
    </row>
    <row r="1163" spans="1:3" x14ac:dyDescent="0.25">
      <c r="A1163">
        <v>1136</v>
      </c>
      <c r="B1163">
        <v>14168.822107365606</v>
      </c>
      <c r="C1163">
        <v>-1525.4443073656057</v>
      </c>
    </row>
    <row r="1164" spans="1:3" x14ac:dyDescent="0.25">
      <c r="A1164">
        <v>1137</v>
      </c>
      <c r="B1164">
        <v>13144.953893536116</v>
      </c>
      <c r="C1164">
        <v>-1381.952993536117</v>
      </c>
    </row>
    <row r="1165" spans="1:3" x14ac:dyDescent="0.25">
      <c r="A1165">
        <v>1138</v>
      </c>
      <c r="B1165">
        <v>10479.643527133383</v>
      </c>
      <c r="C1165">
        <v>590.89147286661682</v>
      </c>
    </row>
    <row r="1166" spans="1:3" x14ac:dyDescent="0.25">
      <c r="A1166">
        <v>1139</v>
      </c>
      <c r="B1166">
        <v>11540.143898256683</v>
      </c>
      <c r="C1166">
        <v>117.97115174331702</v>
      </c>
    </row>
    <row r="1167" spans="1:3" x14ac:dyDescent="0.25">
      <c r="A1167">
        <v>1140</v>
      </c>
      <c r="B1167">
        <v>15064.330514198666</v>
      </c>
      <c r="C1167">
        <v>-2115.1751141986661</v>
      </c>
    </row>
    <row r="1168" spans="1:3" x14ac:dyDescent="0.25">
      <c r="A1168">
        <v>1141</v>
      </c>
      <c r="B1168">
        <v>15376.145620600342</v>
      </c>
      <c r="C1168">
        <v>-3012.5986206003417</v>
      </c>
    </row>
    <row r="1169" spans="1:3" x14ac:dyDescent="0.25">
      <c r="A1169">
        <v>1142</v>
      </c>
      <c r="B1169">
        <v>13191.241592903885</v>
      </c>
      <c r="C1169">
        <v>-2214.9958429038852</v>
      </c>
    </row>
    <row r="1170" spans="1:3" x14ac:dyDescent="0.25">
      <c r="A1170">
        <v>1143</v>
      </c>
      <c r="B1170">
        <v>37326.863604962797</v>
      </c>
      <c r="C1170">
        <v>6487.0024950372026</v>
      </c>
    </row>
    <row r="1171" spans="1:3" x14ac:dyDescent="0.25">
      <c r="A1171">
        <v>1144</v>
      </c>
      <c r="B1171">
        <v>11448.41624855406</v>
      </c>
      <c r="C1171">
        <v>209.30265144593977</v>
      </c>
    </row>
    <row r="1172" spans="1:3" x14ac:dyDescent="0.25">
      <c r="A1172">
        <v>1145</v>
      </c>
      <c r="B1172">
        <v>14332.585568633225</v>
      </c>
      <c r="C1172">
        <v>-2658.455568633226</v>
      </c>
    </row>
    <row r="1173" spans="1:3" x14ac:dyDescent="0.25">
      <c r="A1173">
        <v>1146</v>
      </c>
      <c r="B1173">
        <v>9449.7190392442899</v>
      </c>
      <c r="C1173">
        <v>1127.3679607557096</v>
      </c>
    </row>
    <row r="1174" spans="1:3" x14ac:dyDescent="0.25">
      <c r="A1174">
        <v>1147</v>
      </c>
      <c r="B1174">
        <v>15825.595322082703</v>
      </c>
      <c r="C1174">
        <v>-4731.9724220827029</v>
      </c>
    </row>
    <row r="1175" spans="1:3" x14ac:dyDescent="0.25">
      <c r="A1175">
        <v>1148</v>
      </c>
      <c r="B1175">
        <v>13418.14683164195</v>
      </c>
      <c r="C1175">
        <v>-2823.9211316419496</v>
      </c>
    </row>
    <row r="1176" spans="1:3" x14ac:dyDescent="0.25">
      <c r="A1176">
        <v>1149</v>
      </c>
      <c r="B1176">
        <v>13540.818749883079</v>
      </c>
      <c r="C1176">
        <v>-2184.1578498830786</v>
      </c>
    </row>
    <row r="1177" spans="1:3" x14ac:dyDescent="0.25">
      <c r="A1177">
        <v>1150</v>
      </c>
      <c r="B1177">
        <v>36434.94209745869</v>
      </c>
      <c r="C1177">
        <v>7143.9973025413128</v>
      </c>
    </row>
    <row r="1178" spans="1:3" x14ac:dyDescent="0.25">
      <c r="A1178">
        <v>1151</v>
      </c>
      <c r="B1178">
        <v>15772.010476947306</v>
      </c>
      <c r="C1178">
        <v>-3125.8034769473052</v>
      </c>
    </row>
    <row r="1179" spans="1:3" x14ac:dyDescent="0.25">
      <c r="A1179">
        <v>1152</v>
      </c>
      <c r="B1179">
        <v>15772.858225980222</v>
      </c>
      <c r="C1179">
        <v>-4206.5576759802225</v>
      </c>
    </row>
    <row r="1180" spans="1:3" x14ac:dyDescent="0.25">
      <c r="A1180">
        <v>1153</v>
      </c>
      <c r="B1180">
        <v>10055.168061183431</v>
      </c>
      <c r="C1180">
        <v>1775.4391388165695</v>
      </c>
    </row>
    <row r="1181" spans="1:3" x14ac:dyDescent="0.25">
      <c r="A1181">
        <v>1154</v>
      </c>
      <c r="B1181">
        <v>9749.4092288413576</v>
      </c>
      <c r="C1181">
        <v>2279.8774711586429</v>
      </c>
    </row>
    <row r="1182" spans="1:3" x14ac:dyDescent="0.25">
      <c r="A1182">
        <v>1155</v>
      </c>
      <c r="B1182">
        <v>12409.511070217404</v>
      </c>
      <c r="C1182">
        <v>-568.73602021740408</v>
      </c>
    </row>
    <row r="1183" spans="1:3" x14ac:dyDescent="0.25">
      <c r="A1183">
        <v>1156</v>
      </c>
      <c r="B1183">
        <v>11831.787802792116</v>
      </c>
      <c r="C1183">
        <v>-376.5078027921154</v>
      </c>
    </row>
    <row r="1184" spans="1:3" x14ac:dyDescent="0.25">
      <c r="A1184">
        <v>1157</v>
      </c>
      <c r="B1184">
        <v>40439.154298117239</v>
      </c>
      <c r="C1184">
        <v>8236.3634018827579</v>
      </c>
    </row>
    <row r="1185" spans="1:3" x14ac:dyDescent="0.25">
      <c r="A1185">
        <v>1158</v>
      </c>
      <c r="B1185">
        <v>14579.551030813216</v>
      </c>
      <c r="C1185">
        <v>-1355.4939808132167</v>
      </c>
    </row>
    <row r="1186" spans="1:3" x14ac:dyDescent="0.25">
      <c r="A1186">
        <v>1159</v>
      </c>
      <c r="B1186">
        <v>13753.154434456699</v>
      </c>
      <c r="C1186">
        <v>641.24371554330173</v>
      </c>
    </row>
    <row r="1187" spans="1:3" x14ac:dyDescent="0.25">
      <c r="A1187">
        <v>1160</v>
      </c>
      <c r="B1187">
        <v>10786.151498769465</v>
      </c>
      <c r="C1187">
        <v>11406.285611230534</v>
      </c>
    </row>
    <row r="1188" spans="1:3" x14ac:dyDescent="0.25">
      <c r="A1188">
        <v>1161</v>
      </c>
      <c r="B1188">
        <v>12837.573435496308</v>
      </c>
      <c r="C1188">
        <v>-994.94968549630721</v>
      </c>
    </row>
    <row r="1189" spans="1:3" x14ac:dyDescent="0.25">
      <c r="A1189">
        <v>1162</v>
      </c>
      <c r="B1189">
        <v>36000.442704130481</v>
      </c>
      <c r="C1189">
        <v>-8466.5298041304814</v>
      </c>
    </row>
    <row r="1190" spans="1:3" x14ac:dyDescent="0.25">
      <c r="A1190">
        <v>1163</v>
      </c>
      <c r="B1190">
        <v>11638.676961312913</v>
      </c>
      <c r="C1190">
        <v>-673.23096131291277</v>
      </c>
    </row>
    <row r="1191" spans="1:3" x14ac:dyDescent="0.25">
      <c r="A1191">
        <v>1164</v>
      </c>
      <c r="B1191">
        <v>17133.061155385996</v>
      </c>
      <c r="C1191">
        <v>-5556.931155385997</v>
      </c>
    </row>
    <row r="1192" spans="1:3" x14ac:dyDescent="0.25">
      <c r="A1192">
        <v>1165</v>
      </c>
      <c r="B1192">
        <v>35731.696783071922</v>
      </c>
      <c r="C1192">
        <v>-8513.2595330719232</v>
      </c>
    </row>
    <row r="1193" spans="1:3" x14ac:dyDescent="0.25">
      <c r="A1193">
        <v>1166</v>
      </c>
      <c r="B1193">
        <v>13892.017532560008</v>
      </c>
      <c r="C1193">
        <v>-1946.8848325600084</v>
      </c>
    </row>
    <row r="1194" spans="1:3" x14ac:dyDescent="0.25">
      <c r="A1194">
        <v>1167</v>
      </c>
      <c r="B1194">
        <v>9537.3680572039375</v>
      </c>
      <c r="C1194">
        <v>2494.9579427960616</v>
      </c>
    </row>
    <row r="1195" spans="1:3" x14ac:dyDescent="0.25">
      <c r="A1195">
        <v>1168</v>
      </c>
      <c r="B1195">
        <v>8495.7980162388521</v>
      </c>
      <c r="C1195">
        <v>3039.0746337611472</v>
      </c>
    </row>
    <row r="1196" spans="1:3" x14ac:dyDescent="0.25">
      <c r="A1196">
        <v>1169</v>
      </c>
      <c r="B1196">
        <v>12060.683052532215</v>
      </c>
      <c r="C1196">
        <v>-506.45945253221544</v>
      </c>
    </row>
    <row r="1197" spans="1:3" x14ac:dyDescent="0.25">
      <c r="A1197">
        <v>1170</v>
      </c>
      <c r="B1197">
        <v>12745.845785793686</v>
      </c>
      <c r="C1197">
        <v>-1392.6181857936863</v>
      </c>
    </row>
    <row r="1198" spans="1:3" x14ac:dyDescent="0.25">
      <c r="A1198">
        <v>1171</v>
      </c>
      <c r="B1198">
        <v>15558.827043340771</v>
      </c>
      <c r="C1198">
        <v>5150.1932966592285</v>
      </c>
    </row>
    <row r="1199" spans="1:3" x14ac:dyDescent="0.25">
      <c r="A1199">
        <v>1172</v>
      </c>
      <c r="B1199">
        <v>15587.79366956265</v>
      </c>
      <c r="C1199">
        <v>-4605.2923695626505</v>
      </c>
    </row>
    <row r="1200" spans="1:3" x14ac:dyDescent="0.25">
      <c r="A1200">
        <v>1173</v>
      </c>
      <c r="B1200">
        <v>10222.530790465409</v>
      </c>
      <c r="C1200">
        <v>736.79920953459077</v>
      </c>
    </row>
    <row r="1201" spans="1:3" x14ac:dyDescent="0.25">
      <c r="A1201">
        <v>1174</v>
      </c>
      <c r="B1201">
        <v>11826.112282722219</v>
      </c>
      <c r="C1201">
        <v>803.05331727778139</v>
      </c>
    </row>
    <row r="1202" spans="1:3" x14ac:dyDescent="0.25">
      <c r="A1202">
        <v>1175</v>
      </c>
      <c r="B1202">
        <v>39504.925113249432</v>
      </c>
      <c r="C1202">
        <v>7991.5693367505664</v>
      </c>
    </row>
    <row r="1203" spans="1:3" x14ac:dyDescent="0.25">
      <c r="A1203">
        <v>1176</v>
      </c>
      <c r="B1203">
        <v>14042.427574000396</v>
      </c>
      <c r="C1203">
        <v>-435.05882400039627</v>
      </c>
    </row>
    <row r="1204" spans="1:3" x14ac:dyDescent="0.25">
      <c r="A1204">
        <v>1177</v>
      </c>
      <c r="B1204">
        <v>13628.467767842729</v>
      </c>
      <c r="C1204">
        <v>-1681.8418678427297</v>
      </c>
    </row>
    <row r="1205" spans="1:3" x14ac:dyDescent="0.25">
      <c r="A1205">
        <v>1178</v>
      </c>
      <c r="B1205">
        <v>18642.531864263045</v>
      </c>
      <c r="C1205">
        <v>-7261.2064642630448</v>
      </c>
    </row>
    <row r="1206" spans="1:3" x14ac:dyDescent="0.25">
      <c r="A1206">
        <v>1179</v>
      </c>
      <c r="B1206">
        <v>12055.842912809831</v>
      </c>
      <c r="C1206">
        <v>-319.96386280983097</v>
      </c>
    </row>
    <row r="1207" spans="1:3" x14ac:dyDescent="0.25">
      <c r="A1207">
        <v>1180</v>
      </c>
      <c r="B1207">
        <v>16341.29433663585</v>
      </c>
      <c r="C1207">
        <v>7886.0429033641503</v>
      </c>
    </row>
    <row r="1208" spans="1:3" x14ac:dyDescent="0.25">
      <c r="A1208">
        <v>1181</v>
      </c>
      <c r="B1208">
        <v>10963.157401439996</v>
      </c>
      <c r="C1208">
        <v>874.00259856000412</v>
      </c>
    </row>
    <row r="1209" spans="1:3" x14ac:dyDescent="0.25">
      <c r="A1209">
        <v>1182</v>
      </c>
      <c r="B1209">
        <v>14073.851206267522</v>
      </c>
      <c r="C1209">
        <v>-2129.2568562675224</v>
      </c>
    </row>
    <row r="1210" spans="1:3" x14ac:dyDescent="0.25">
      <c r="A1210">
        <v>1183</v>
      </c>
      <c r="B1210">
        <v>15420.799325584974</v>
      </c>
      <c r="C1210">
        <v>-3564.3878255849741</v>
      </c>
    </row>
    <row r="1211" spans="1:3" x14ac:dyDescent="0.25">
      <c r="A1211">
        <v>1184</v>
      </c>
      <c r="B1211">
        <v>14342.597127326082</v>
      </c>
      <c r="C1211">
        <v>-2979.8421273260828</v>
      </c>
    </row>
    <row r="1212" spans="1:3" x14ac:dyDescent="0.25">
      <c r="A1212">
        <v>1185</v>
      </c>
      <c r="B1212">
        <v>11597.20466429672</v>
      </c>
      <c r="C1212">
        <v>625.69363570328096</v>
      </c>
    </row>
    <row r="1213" spans="1:3" x14ac:dyDescent="0.25">
      <c r="A1213">
        <v>1186</v>
      </c>
      <c r="B1213">
        <v>12186.192730808294</v>
      </c>
      <c r="C1213">
        <v>-343.75073080829497</v>
      </c>
    </row>
    <row r="1214" spans="1:3" x14ac:dyDescent="0.25">
      <c r="A1214">
        <v>1187</v>
      </c>
      <c r="B1214">
        <v>15082.855352996366</v>
      </c>
      <c r="C1214">
        <v>-3716.9033529963672</v>
      </c>
    </row>
    <row r="1215" spans="1:3" x14ac:dyDescent="0.25">
      <c r="A1215">
        <v>1188</v>
      </c>
      <c r="B1215">
        <v>13462.333541583374</v>
      </c>
      <c r="C1215">
        <v>-1031.3801915833737</v>
      </c>
    </row>
    <row r="1216" spans="1:3" x14ac:dyDescent="0.25">
      <c r="A1216">
        <v>1189</v>
      </c>
      <c r="B1216">
        <v>13615.212957754409</v>
      </c>
      <c r="C1216">
        <v>-1383.5993577544086</v>
      </c>
    </row>
    <row r="1217" spans="1:3" x14ac:dyDescent="0.25">
      <c r="A1217">
        <v>1190</v>
      </c>
      <c r="B1217">
        <v>10181.058493449216</v>
      </c>
      <c r="C1217">
        <v>1652.7238065507845</v>
      </c>
    </row>
    <row r="1218" spans="1:3" x14ac:dyDescent="0.25">
      <c r="A1218">
        <v>1191</v>
      </c>
      <c r="B1218">
        <v>13505.783480916194</v>
      </c>
      <c r="C1218">
        <v>-1657.6424809161945</v>
      </c>
    </row>
    <row r="1219" spans="1:3" x14ac:dyDescent="0.25">
      <c r="A1219">
        <v>1192</v>
      </c>
      <c r="B1219">
        <v>13920.971790096484</v>
      </c>
      <c r="C1219">
        <v>-2177.0376900964839</v>
      </c>
    </row>
    <row r="1220" spans="1:3" x14ac:dyDescent="0.25">
      <c r="A1220">
        <v>1193</v>
      </c>
      <c r="B1220">
        <v>14464.900660262911</v>
      </c>
      <c r="C1220">
        <v>-3101.6174602629108</v>
      </c>
    </row>
    <row r="1221" spans="1:3" x14ac:dyDescent="0.25">
      <c r="A1221">
        <v>1194</v>
      </c>
      <c r="B1221">
        <v>14593.641221249047</v>
      </c>
      <c r="C1221">
        <v>-2357.8020212490464</v>
      </c>
    </row>
    <row r="1222" spans="1:3" x14ac:dyDescent="0.25">
      <c r="A1222">
        <v>1195</v>
      </c>
      <c r="B1222">
        <v>13752.380557791887</v>
      </c>
      <c r="C1222">
        <v>-733.21950779188592</v>
      </c>
    </row>
    <row r="1223" spans="1:3" x14ac:dyDescent="0.25">
      <c r="A1223">
        <v>1196</v>
      </c>
      <c r="B1223">
        <v>12606.208811025565</v>
      </c>
      <c r="C1223">
        <v>-667.95286102556383</v>
      </c>
    </row>
    <row r="1224" spans="1:3" x14ac:dyDescent="0.25">
      <c r="A1224">
        <v>1197</v>
      </c>
      <c r="B1224">
        <v>10351.639736755849</v>
      </c>
      <c r="C1224">
        <v>993.87926324415093</v>
      </c>
    </row>
    <row r="1225" spans="1:3" x14ac:dyDescent="0.25">
      <c r="A1225">
        <v>1198</v>
      </c>
      <c r="B1225">
        <v>11933.539379873</v>
      </c>
      <c r="C1225">
        <v>290.81147012700058</v>
      </c>
    </row>
    <row r="1226" spans="1:3" x14ac:dyDescent="0.25">
      <c r="A1226">
        <v>1199</v>
      </c>
      <c r="B1226">
        <v>10955.111116378364</v>
      </c>
      <c r="C1226">
        <v>976.01413362163476</v>
      </c>
    </row>
    <row r="1227" spans="1:3" x14ac:dyDescent="0.25">
      <c r="A1227">
        <v>1200</v>
      </c>
      <c r="B1227">
        <v>13452.579389770501</v>
      </c>
      <c r="C1227">
        <v>548.5544102294989</v>
      </c>
    </row>
    <row r="1228" spans="1:3" x14ac:dyDescent="0.25">
      <c r="A1228">
        <v>1201</v>
      </c>
      <c r="B1228">
        <v>37943.085693574205</v>
      </c>
      <c r="C1228">
        <v>-7758.1489935742065</v>
      </c>
    </row>
    <row r="1229" spans="1:3" x14ac:dyDescent="0.25">
      <c r="A1229">
        <v>1202</v>
      </c>
      <c r="B1229">
        <v>11641.022988933839</v>
      </c>
      <c r="C1229">
        <v>1174.4219610661603</v>
      </c>
    </row>
    <row r="1230" spans="1:3" x14ac:dyDescent="0.25">
      <c r="A1230">
        <v>1203</v>
      </c>
      <c r="B1230">
        <v>11607.228591674979</v>
      </c>
      <c r="C1230">
        <v>136.07040832502207</v>
      </c>
    </row>
    <row r="1231" spans="1:3" x14ac:dyDescent="0.25">
      <c r="A1231">
        <v>1204</v>
      </c>
      <c r="B1231">
        <v>13487.983044041688</v>
      </c>
      <c r="C1231">
        <v>513.30365595831245</v>
      </c>
    </row>
    <row r="1232" spans="1:3" x14ac:dyDescent="0.25">
      <c r="A1232">
        <v>1205</v>
      </c>
      <c r="B1232">
        <v>12434.767450000612</v>
      </c>
      <c r="C1232">
        <v>-100.93945000061285</v>
      </c>
    </row>
    <row r="1233" spans="1:3" x14ac:dyDescent="0.25">
      <c r="A1233">
        <v>1206</v>
      </c>
      <c r="B1233">
        <v>14957.234696295973</v>
      </c>
      <c r="C1233">
        <v>-366.60264629597259</v>
      </c>
    </row>
    <row r="1234" spans="1:3" x14ac:dyDescent="0.25">
      <c r="A1234">
        <v>1207</v>
      </c>
      <c r="B1234">
        <v>14289.012282190683</v>
      </c>
      <c r="C1234">
        <v>-1360.2211821906822</v>
      </c>
    </row>
    <row r="1235" spans="1:3" x14ac:dyDescent="0.25">
      <c r="A1235">
        <v>1208</v>
      </c>
      <c r="B1235">
        <v>39228.120538443836</v>
      </c>
      <c r="C1235">
        <v>8668.6708115561632</v>
      </c>
    </row>
    <row r="1236" spans="1:3" x14ac:dyDescent="0.25">
      <c r="A1236">
        <v>1209</v>
      </c>
      <c r="B1236">
        <v>15337.867100237992</v>
      </c>
      <c r="C1236">
        <v>12950.030559762006</v>
      </c>
    </row>
    <row r="1237" spans="1:3" x14ac:dyDescent="0.25">
      <c r="A1237">
        <v>1210</v>
      </c>
      <c r="B1237">
        <v>15147.594018793734</v>
      </c>
      <c r="C1237">
        <v>6649.4063812062668</v>
      </c>
    </row>
    <row r="1238" spans="1:3" x14ac:dyDescent="0.25">
      <c r="A1238">
        <v>1211</v>
      </c>
      <c r="B1238">
        <v>13616.342851038118</v>
      </c>
      <c r="C1238">
        <v>-690.45685103811775</v>
      </c>
    </row>
    <row r="1239" spans="1:3" x14ac:dyDescent="0.25">
      <c r="A1239">
        <v>1212</v>
      </c>
      <c r="B1239">
        <v>11778.190588971316</v>
      </c>
      <c r="C1239">
        <v>1135.801811028683</v>
      </c>
    </row>
    <row r="1240" spans="1:3" x14ac:dyDescent="0.25">
      <c r="A1240">
        <v>1213</v>
      </c>
      <c r="B1240">
        <v>34535.146336509453</v>
      </c>
      <c r="C1240">
        <v>-8856.3678865094516</v>
      </c>
    </row>
    <row r="1241" spans="1:3" x14ac:dyDescent="0.25">
      <c r="A1241">
        <v>1214</v>
      </c>
      <c r="B1241">
        <v>12374.844186554817</v>
      </c>
      <c r="C1241">
        <v>-245.23003655481807</v>
      </c>
    </row>
    <row r="1242" spans="1:3" x14ac:dyDescent="0.25">
      <c r="A1242">
        <v>1215</v>
      </c>
      <c r="B1242">
        <v>14439.520933369984</v>
      </c>
      <c r="C1242">
        <v>-2194.9899333699832</v>
      </c>
    </row>
    <row r="1243" spans="1:3" x14ac:dyDescent="0.25">
      <c r="A1243">
        <v>1216</v>
      </c>
      <c r="B1243">
        <v>14862.288532568697</v>
      </c>
      <c r="C1243">
        <v>-855.06653256869686</v>
      </c>
    </row>
    <row r="1244" spans="1:3" x14ac:dyDescent="0.25">
      <c r="A1244">
        <v>1217</v>
      </c>
      <c r="B1244">
        <v>13200.393033878419</v>
      </c>
      <c r="C1244">
        <v>-578.21353387841918</v>
      </c>
    </row>
    <row r="1245" spans="1:3" x14ac:dyDescent="0.25">
      <c r="A1245">
        <v>1218</v>
      </c>
      <c r="B1245">
        <v>11060.081207483898</v>
      </c>
      <c r="C1245">
        <v>1263.854792516102</v>
      </c>
    </row>
    <row r="1246" spans="1:3" x14ac:dyDescent="0.25">
      <c r="A1246">
        <v>1219</v>
      </c>
      <c r="B1246">
        <v>13122.681702243526</v>
      </c>
      <c r="C1246">
        <v>1260.0273477564733</v>
      </c>
    </row>
    <row r="1247" spans="1:3" x14ac:dyDescent="0.25">
      <c r="A1247">
        <v>1220</v>
      </c>
      <c r="B1247">
        <v>11961.265134386855</v>
      </c>
      <c r="C1247">
        <v>272.56286561314482</v>
      </c>
    </row>
    <row r="1248" spans="1:3" x14ac:dyDescent="0.25">
      <c r="A1248">
        <v>1221</v>
      </c>
      <c r="B1248">
        <v>11304.688273357559</v>
      </c>
      <c r="C1248">
        <v>820.30412664244068</v>
      </c>
    </row>
    <row r="1249" spans="1:3" x14ac:dyDescent="0.25">
      <c r="A1249">
        <v>1222</v>
      </c>
      <c r="B1249">
        <v>40636.220424229701</v>
      </c>
      <c r="C1249">
        <v>8334.0271757703013</v>
      </c>
    </row>
    <row r="1250" spans="1:3" x14ac:dyDescent="0.25">
      <c r="A1250">
        <v>1223</v>
      </c>
      <c r="B1250">
        <v>15257.78500361136</v>
      </c>
      <c r="C1250">
        <v>21652.823026388643</v>
      </c>
    </row>
    <row r="1251" spans="1:3" x14ac:dyDescent="0.25">
      <c r="A1251">
        <v>1224</v>
      </c>
      <c r="B1251">
        <v>15524.54091366789</v>
      </c>
      <c r="C1251">
        <v>-3177.3689136678895</v>
      </c>
    </row>
    <row r="1252" spans="1:3" x14ac:dyDescent="0.25">
      <c r="A1252">
        <v>1225</v>
      </c>
      <c r="B1252">
        <v>11684.84131357096</v>
      </c>
      <c r="C1252">
        <v>17238.295606429041</v>
      </c>
    </row>
    <row r="1253" spans="1:3" x14ac:dyDescent="0.25">
      <c r="A1253">
        <v>1226</v>
      </c>
      <c r="B1253">
        <v>14956.460819631156</v>
      </c>
      <c r="C1253">
        <v>-1727.6138696311573</v>
      </c>
    </row>
    <row r="1254" spans="1:3" x14ac:dyDescent="0.25">
      <c r="A1254">
        <v>1227</v>
      </c>
      <c r="B1254">
        <v>40021.471876835494</v>
      </c>
      <c r="C1254">
        <v>8151.889123164503</v>
      </c>
    </row>
    <row r="1255" spans="1:3" x14ac:dyDescent="0.25">
      <c r="A1255">
        <v>1228</v>
      </c>
      <c r="B1255">
        <v>11263.215976341364</v>
      </c>
      <c r="C1255">
        <v>1366.6807236586355</v>
      </c>
    </row>
    <row r="1256" spans="1:3" x14ac:dyDescent="0.25">
      <c r="A1256">
        <v>1229</v>
      </c>
      <c r="B1256">
        <v>12571.541927362976</v>
      </c>
      <c r="C1256">
        <v>17688.453632637022</v>
      </c>
    </row>
    <row r="1257" spans="1:3" x14ac:dyDescent="0.25">
      <c r="A1257">
        <v>1230</v>
      </c>
      <c r="B1257">
        <v>11103.89953212102</v>
      </c>
      <c r="C1257">
        <v>1908.30911787898</v>
      </c>
    </row>
    <row r="1258" spans="1:3" x14ac:dyDescent="0.25">
      <c r="A1258">
        <v>1231</v>
      </c>
      <c r="B1258">
        <v>15617.865451697433</v>
      </c>
      <c r="C1258">
        <v>-2969.1620516974326</v>
      </c>
    </row>
    <row r="1259" spans="1:3" x14ac:dyDescent="0.25">
      <c r="A1259">
        <v>1232</v>
      </c>
      <c r="B1259">
        <v>11652.656173324425</v>
      </c>
      <c r="C1259">
        <v>489.92242667557548</v>
      </c>
    </row>
    <row r="1260" spans="1:3" x14ac:dyDescent="0.25">
      <c r="A1260">
        <v>1233</v>
      </c>
      <c r="B1260">
        <v>12235.207211786694</v>
      </c>
      <c r="C1260">
        <v>981.88728821330551</v>
      </c>
    </row>
    <row r="1261" spans="1:3" x14ac:dyDescent="0.25">
      <c r="A1261">
        <v>1234</v>
      </c>
      <c r="B1261">
        <v>13184.668849059452</v>
      </c>
      <c r="C1261">
        <v>-546.47384905945182</v>
      </c>
    </row>
    <row r="1262" spans="1:3" x14ac:dyDescent="0.25">
      <c r="A1262">
        <v>1235</v>
      </c>
      <c r="B1262">
        <v>15445.207956335264</v>
      </c>
      <c r="C1262">
        <v>-1525.3850563352644</v>
      </c>
    </row>
    <row r="1263" spans="1:3" x14ac:dyDescent="0.25">
      <c r="A1263">
        <v>1236</v>
      </c>
      <c r="B1263">
        <v>12907.876642939258</v>
      </c>
      <c r="C1263">
        <v>-176.8770429392589</v>
      </c>
    </row>
    <row r="1264" spans="1:3" x14ac:dyDescent="0.25">
      <c r="A1264">
        <v>1237</v>
      </c>
      <c r="B1264">
        <v>13078.838640235594</v>
      </c>
      <c r="C1264">
        <v>145.85435976440567</v>
      </c>
    </row>
    <row r="1265" spans="1:3" x14ac:dyDescent="0.25">
      <c r="A1265">
        <v>1238</v>
      </c>
      <c r="B1265">
        <v>38690.149332598099</v>
      </c>
      <c r="C1265">
        <v>7440.3771674019008</v>
      </c>
    </row>
    <row r="1266" spans="1:3" x14ac:dyDescent="0.25">
      <c r="A1266">
        <v>1239</v>
      </c>
      <c r="B1266">
        <v>12669.706605114905</v>
      </c>
      <c r="C1266">
        <v>-522.73560511490541</v>
      </c>
    </row>
    <row r="1267" spans="1:3" x14ac:dyDescent="0.25">
      <c r="A1267">
        <v>1240</v>
      </c>
      <c r="B1267">
        <v>11669.1294974374</v>
      </c>
      <c r="C1267">
        <v>1443.4753025625996</v>
      </c>
    </row>
    <row r="1268" spans="1:3" x14ac:dyDescent="0.25">
      <c r="A1268">
        <v>1241</v>
      </c>
      <c r="B1268">
        <v>15262.21965197323</v>
      </c>
      <c r="C1268">
        <v>-2521.0522019732289</v>
      </c>
    </row>
    <row r="1269" spans="1:3" x14ac:dyDescent="0.25">
      <c r="A1269">
        <v>1242</v>
      </c>
      <c r="B1269">
        <v>11195.627181823642</v>
      </c>
      <c r="C1269">
        <v>1327.9776181763573</v>
      </c>
    </row>
    <row r="1270" spans="1:3" x14ac:dyDescent="0.25">
      <c r="A1270">
        <v>1243</v>
      </c>
      <c r="B1270">
        <v>37623.678928468704</v>
      </c>
      <c r="C1270">
        <v>7385.2765715312926</v>
      </c>
    </row>
    <row r="1271" spans="1:3" x14ac:dyDescent="0.25">
      <c r="A1271">
        <v>1244</v>
      </c>
      <c r="B1271">
        <v>40349.760307350138</v>
      </c>
      <c r="C1271">
        <v>8323.7984926498611</v>
      </c>
    </row>
    <row r="1272" spans="1:3" x14ac:dyDescent="0.25">
      <c r="A1272">
        <v>1245</v>
      </c>
      <c r="B1272">
        <v>14665.185300400022</v>
      </c>
      <c r="C1272">
        <v>-2020.5963004000223</v>
      </c>
    </row>
    <row r="1273" spans="1:3" x14ac:dyDescent="0.25">
      <c r="A1273">
        <v>1246</v>
      </c>
      <c r="B1273">
        <v>9269.3465380685739</v>
      </c>
      <c r="C1273">
        <v>3934.9391119314259</v>
      </c>
    </row>
    <row r="1274" spans="1:3" x14ac:dyDescent="0.25">
      <c r="A1274">
        <v>1247</v>
      </c>
      <c r="B1274">
        <v>37736.326919331572</v>
      </c>
      <c r="C1274">
        <v>14854.502470668427</v>
      </c>
    </row>
    <row r="1275" spans="1:3" x14ac:dyDescent="0.25">
      <c r="A1275">
        <v>1248</v>
      </c>
      <c r="B1275">
        <v>17157.445048765476</v>
      </c>
      <c r="C1275">
        <v>-2922.3730487654757</v>
      </c>
    </row>
    <row r="1276" spans="1:3" x14ac:dyDescent="0.25">
      <c r="A1276">
        <v>1249</v>
      </c>
      <c r="B1276">
        <v>38487.751334349232</v>
      </c>
      <c r="C1276">
        <v>-7545.5595343492314</v>
      </c>
    </row>
    <row r="1277" spans="1:3" x14ac:dyDescent="0.25">
      <c r="A1277">
        <v>1250</v>
      </c>
      <c r="B1277">
        <v>10719.655491479236</v>
      </c>
      <c r="C1277">
        <v>2896.7031085207636</v>
      </c>
    </row>
    <row r="1278" spans="1:3" x14ac:dyDescent="0.25">
      <c r="A1278">
        <v>1251</v>
      </c>
      <c r="B1278">
        <v>13786.899356973941</v>
      </c>
      <c r="C1278">
        <v>-1229.2940569739421</v>
      </c>
    </row>
    <row r="1279" spans="1:3" x14ac:dyDescent="0.25">
      <c r="A1279">
        <v>1252</v>
      </c>
      <c r="B1279">
        <v>39621.516020060153</v>
      </c>
      <c r="C1279">
        <v>8896.0471299398487</v>
      </c>
    </row>
    <row r="1280" spans="1:3" x14ac:dyDescent="0.25">
      <c r="A1280">
        <v>1253</v>
      </c>
      <c r="B1280">
        <v>13654.94028196315</v>
      </c>
      <c r="C1280">
        <v>-225.90488196314982</v>
      </c>
    </row>
    <row r="1281" spans="1:3" x14ac:dyDescent="0.25">
      <c r="A1281">
        <v>1254</v>
      </c>
      <c r="B1281">
        <v>10413.896659137163</v>
      </c>
      <c r="C1281">
        <v>3001.141440862837</v>
      </c>
    </row>
    <row r="1282" spans="1:3" x14ac:dyDescent="0.25">
      <c r="A1282">
        <v>1255</v>
      </c>
      <c r="B1282">
        <v>38979.04171815209</v>
      </c>
      <c r="C1282">
        <v>7620.0666818479076</v>
      </c>
    </row>
    <row r="1283" spans="1:3" x14ac:dyDescent="0.25">
      <c r="A1283">
        <v>1256</v>
      </c>
      <c r="B1283">
        <v>37022.565945152521</v>
      </c>
      <c r="C1283">
        <v>-8153.9020451525212</v>
      </c>
    </row>
    <row r="1284" spans="1:3" x14ac:dyDescent="0.25">
      <c r="A1284">
        <v>1257</v>
      </c>
      <c r="B1284">
        <v>11698.083754973875</v>
      </c>
      <c r="C1284">
        <v>12815.007505026126</v>
      </c>
    </row>
    <row r="1285" spans="1:3" x14ac:dyDescent="0.25">
      <c r="A1285">
        <v>1258</v>
      </c>
      <c r="B1285">
        <v>17594.401448138931</v>
      </c>
      <c r="C1285">
        <v>-5020.3524481389304</v>
      </c>
    </row>
    <row r="1286" spans="1:3" x14ac:dyDescent="0.25">
      <c r="A1286">
        <v>1259</v>
      </c>
      <c r="B1286">
        <v>15183.734443673522</v>
      </c>
      <c r="C1286">
        <v>-1548.0965436735223</v>
      </c>
    </row>
    <row r="1287" spans="1:3" x14ac:dyDescent="0.25">
      <c r="A1287">
        <v>1260</v>
      </c>
      <c r="B1287">
        <v>14541.640895755167</v>
      </c>
      <c r="C1287">
        <v>-1397.7760457551667</v>
      </c>
    </row>
    <row r="1288" spans="1:3" x14ac:dyDescent="0.25">
      <c r="A1288">
        <v>1261</v>
      </c>
      <c r="B1288">
        <v>16665.393156983209</v>
      </c>
      <c r="C1288">
        <v>11275.894423016791</v>
      </c>
    </row>
    <row r="1289" spans="1:3" x14ac:dyDescent="0.25">
      <c r="A1289">
        <v>1262</v>
      </c>
      <c r="B1289">
        <v>14968.855512001153</v>
      </c>
      <c r="C1289">
        <v>-849.23551200115253</v>
      </c>
    </row>
    <row r="1290" spans="1:3" x14ac:dyDescent="0.25">
      <c r="A1290">
        <v>1263</v>
      </c>
      <c r="B1290">
        <v>11239.445506460765</v>
      </c>
      <c r="C1290">
        <v>1890.1579435392359</v>
      </c>
    </row>
    <row r="1291" spans="1:3" x14ac:dyDescent="0.25">
      <c r="A1291">
        <v>1264</v>
      </c>
      <c r="B1291">
        <v>17787.512289618135</v>
      </c>
      <c r="C1291">
        <v>-4723.6292896181349</v>
      </c>
    </row>
    <row r="1292" spans="1:3" x14ac:dyDescent="0.25">
      <c r="A1292">
        <v>1265</v>
      </c>
      <c r="B1292">
        <v>12702.26013066574</v>
      </c>
      <c r="C1292">
        <v>339.6608693342605</v>
      </c>
    </row>
    <row r="1293" spans="1:3" x14ac:dyDescent="0.25">
      <c r="A1293">
        <v>1266</v>
      </c>
      <c r="B1293">
        <v>16247.367087767971</v>
      </c>
      <c r="C1293">
        <v>20332.915072232034</v>
      </c>
    </row>
    <row r="1294" spans="1:3" x14ac:dyDescent="0.25">
      <c r="A1294">
        <v>1267</v>
      </c>
      <c r="B1294">
        <v>15978.707407762917</v>
      </c>
      <c r="C1294">
        <v>-3028.6362077629165</v>
      </c>
    </row>
    <row r="1295" spans="1:3" x14ac:dyDescent="0.25">
      <c r="A1295">
        <v>1268</v>
      </c>
      <c r="B1295">
        <v>39594.158650850601</v>
      </c>
      <c r="C1295">
        <v>7809.7213491493967</v>
      </c>
    </row>
    <row r="1296" spans="1:3" x14ac:dyDescent="0.25">
      <c r="A1296">
        <v>1269</v>
      </c>
      <c r="B1296">
        <v>14419.337362818336</v>
      </c>
      <c r="C1296">
        <v>-1276.000712818337</v>
      </c>
    </row>
    <row r="1297" spans="1:3" x14ac:dyDescent="0.25">
      <c r="A1297">
        <v>1270</v>
      </c>
      <c r="B1297">
        <v>36793.670695412424</v>
      </c>
      <c r="C1297">
        <v>-7652.3103954124235</v>
      </c>
    </row>
    <row r="1298" spans="1:3" x14ac:dyDescent="0.25">
      <c r="A1298">
        <v>1271</v>
      </c>
      <c r="B1298">
        <v>36156.773303835347</v>
      </c>
      <c r="C1298">
        <v>-8348.0482038353475</v>
      </c>
    </row>
    <row r="1299" spans="1:3" x14ac:dyDescent="0.25">
      <c r="A1299">
        <v>1272</v>
      </c>
      <c r="B1299">
        <v>15914.238517530937</v>
      </c>
      <c r="C1299">
        <v>-302.04516753093776</v>
      </c>
    </row>
    <row r="1300" spans="1:3" x14ac:dyDescent="0.25">
      <c r="A1300">
        <v>1273</v>
      </c>
      <c r="B1300">
        <v>13224.408541953599</v>
      </c>
      <c r="C1300">
        <v>713.25795804640074</v>
      </c>
    </row>
    <row r="1301" spans="1:3" x14ac:dyDescent="0.25">
      <c r="A1301">
        <v>1274</v>
      </c>
      <c r="B1301">
        <v>13545.879190429234</v>
      </c>
      <c r="C1301">
        <v>-193.7793904292339</v>
      </c>
    </row>
    <row r="1302" spans="1:3" x14ac:dyDescent="0.25">
      <c r="A1302">
        <v>1275</v>
      </c>
      <c r="B1302">
        <v>14482.847525593084</v>
      </c>
      <c r="C1302">
        <v>12518.137204406916</v>
      </c>
    </row>
    <row r="1303" spans="1:3" x14ac:dyDescent="0.25">
      <c r="A1303">
        <v>1276</v>
      </c>
      <c r="B1303">
        <v>17091.833896564382</v>
      </c>
      <c r="C1303">
        <v>-1861.5098465643823</v>
      </c>
    </row>
    <row r="1304" spans="1:3" x14ac:dyDescent="0.25">
      <c r="A1304">
        <v>1277</v>
      </c>
      <c r="B1304">
        <v>16500.475065061069</v>
      </c>
      <c r="C1304">
        <v>-3029.6150650610689</v>
      </c>
    </row>
    <row r="1305" spans="1:3" x14ac:dyDescent="0.25">
      <c r="A1305">
        <v>1278</v>
      </c>
      <c r="B1305">
        <v>14096.24508864497</v>
      </c>
      <c r="C1305">
        <v>-52.7683886449704</v>
      </c>
    </row>
    <row r="1306" spans="1:3" x14ac:dyDescent="0.25">
      <c r="A1306">
        <v>1279</v>
      </c>
      <c r="B1306">
        <v>10771.52010117799</v>
      </c>
      <c r="C1306">
        <v>2185.5978988220104</v>
      </c>
    </row>
    <row r="1307" spans="1:3" x14ac:dyDescent="0.25">
      <c r="A1307">
        <v>1280</v>
      </c>
      <c r="B1307">
        <v>16220.845098905927</v>
      </c>
      <c r="C1307">
        <v>15399.155961094071</v>
      </c>
    </row>
    <row r="1308" spans="1:3" x14ac:dyDescent="0.25">
      <c r="A1308">
        <v>1281</v>
      </c>
      <c r="B1308">
        <v>37999.372582949421</v>
      </c>
      <c r="C1308">
        <v>7710.8352670505774</v>
      </c>
    </row>
    <row r="1309" spans="1:3" x14ac:dyDescent="0.25">
      <c r="A1309">
        <v>1282</v>
      </c>
      <c r="B1309">
        <v>15921.142540623454</v>
      </c>
      <c r="C1309">
        <v>-2941.7845406234537</v>
      </c>
    </row>
    <row r="1310" spans="1:3" x14ac:dyDescent="0.25">
      <c r="A1310">
        <v>1283</v>
      </c>
      <c r="B1310">
        <v>13513.694050182701</v>
      </c>
      <c r="C1310">
        <v>-55.733250182700431</v>
      </c>
    </row>
    <row r="1311" spans="1:3" x14ac:dyDescent="0.25">
      <c r="A1311">
        <v>1284</v>
      </c>
      <c r="B1311">
        <v>14218.548621581798</v>
      </c>
      <c r="C1311">
        <v>-663.54372158179831</v>
      </c>
    </row>
    <row r="1312" spans="1:3" x14ac:dyDescent="0.25">
      <c r="A1312">
        <v>1285</v>
      </c>
      <c r="B1312">
        <v>11930.185150053221</v>
      </c>
      <c r="C1312">
        <v>1520.9368499467782</v>
      </c>
    </row>
    <row r="1313" spans="1:3" x14ac:dyDescent="0.25">
      <c r="A1313">
        <v>1286</v>
      </c>
      <c r="B1313">
        <v>14569.366650269021</v>
      </c>
      <c r="C1313">
        <v>-1106.8466502690208</v>
      </c>
    </row>
    <row r="1314" spans="1:3" x14ac:dyDescent="0.25">
      <c r="A1314">
        <v>1287</v>
      </c>
      <c r="B1314">
        <v>16487.601008962454</v>
      </c>
      <c r="C1314">
        <v>-3016.7966089624533</v>
      </c>
    </row>
    <row r="1315" spans="1:3" x14ac:dyDescent="0.25">
      <c r="A1315">
        <v>1288</v>
      </c>
      <c r="B1315">
        <v>16735.42658886077</v>
      </c>
      <c r="C1315">
        <v>-3752.5518888607694</v>
      </c>
    </row>
    <row r="1316" spans="1:3" x14ac:dyDescent="0.25">
      <c r="A1316">
        <v>1289</v>
      </c>
      <c r="B1316">
        <v>14645.763237827785</v>
      </c>
      <c r="C1316">
        <v>373.99681217221587</v>
      </c>
    </row>
    <row r="1317" spans="1:3" x14ac:dyDescent="0.25">
      <c r="A1317">
        <v>1290</v>
      </c>
      <c r="B1317">
        <v>14402.003920987043</v>
      </c>
      <c r="C1317">
        <v>-557.20672098704199</v>
      </c>
    </row>
    <row r="1318" spans="1:3" x14ac:dyDescent="0.25">
      <c r="A1318">
        <v>1291</v>
      </c>
      <c r="B1318">
        <v>39052.968930980205</v>
      </c>
      <c r="C1318">
        <v>7665.1943190197926</v>
      </c>
    </row>
    <row r="1319" spans="1:3" x14ac:dyDescent="0.25">
      <c r="A1319">
        <v>1292</v>
      </c>
      <c r="B1319">
        <v>36287.123121833807</v>
      </c>
      <c r="C1319">
        <v>-8185.790071833806</v>
      </c>
    </row>
    <row r="1320" spans="1:3" x14ac:dyDescent="0.25">
      <c r="A1320">
        <v>1293</v>
      </c>
      <c r="B1320">
        <v>16381.390046148892</v>
      </c>
      <c r="C1320">
        <v>-3400.0443461488921</v>
      </c>
    </row>
    <row r="1321" spans="1:3" x14ac:dyDescent="0.25">
      <c r="A1321">
        <v>1294</v>
      </c>
      <c r="B1321">
        <v>11571.689221608667</v>
      </c>
      <c r="C1321">
        <v>2880.1459283913337</v>
      </c>
    </row>
    <row r="1322" spans="1:3" x14ac:dyDescent="0.25">
      <c r="A1322">
        <v>1295</v>
      </c>
      <c r="B1322">
        <v>13253.362799490074</v>
      </c>
      <c r="C1322">
        <v>516.73510050992627</v>
      </c>
    </row>
    <row r="1323" spans="1:3" x14ac:dyDescent="0.25">
      <c r="A1323">
        <v>1296</v>
      </c>
      <c r="B1323">
        <v>39246.915152806927</v>
      </c>
      <c r="C1323">
        <v>7808.6169471930698</v>
      </c>
    </row>
    <row r="1324" spans="1:3" x14ac:dyDescent="0.25">
      <c r="A1324">
        <v>1297</v>
      </c>
      <c r="B1324">
        <v>17488.927255933966</v>
      </c>
      <c r="C1324">
        <v>-4083.536955933967</v>
      </c>
    </row>
    <row r="1325" spans="1:3" x14ac:dyDescent="0.25">
      <c r="A1325">
        <v>1298</v>
      </c>
      <c r="B1325">
        <v>40086.947313241464</v>
      </c>
      <c r="C1325">
        <v>8737.5026867585329</v>
      </c>
    </row>
    <row r="1326" spans="1:3" x14ac:dyDescent="0.25">
      <c r="A1326">
        <v>1299</v>
      </c>
      <c r="B1326">
        <v>14376.624194094118</v>
      </c>
      <c r="C1326">
        <v>-495.67519409411761</v>
      </c>
    </row>
    <row r="1327" spans="1:3" x14ac:dyDescent="0.25">
      <c r="A1327">
        <v>1300</v>
      </c>
      <c r="B1327">
        <v>36881.307344686662</v>
      </c>
      <c r="C1327">
        <v>-7358.1417446866617</v>
      </c>
    </row>
    <row r="1328" spans="1:3" x14ac:dyDescent="0.25">
      <c r="A1328">
        <v>1301</v>
      </c>
      <c r="B1328">
        <v>39263.769230909602</v>
      </c>
      <c r="C1328">
        <v>8041.5357690903984</v>
      </c>
    </row>
    <row r="1329" spans="1:3" x14ac:dyDescent="0.25">
      <c r="A1329">
        <v>1302</v>
      </c>
      <c r="B1329">
        <v>12580.693368337512</v>
      </c>
      <c r="C1329">
        <v>1675.4994316624889</v>
      </c>
    </row>
    <row r="1330" spans="1:3" x14ac:dyDescent="0.25">
      <c r="A1330">
        <v>1303</v>
      </c>
      <c r="B1330">
        <v>15974.616407334537</v>
      </c>
      <c r="C1330">
        <v>-1992.7660573345365</v>
      </c>
    </row>
    <row r="1331" spans="1:3" x14ac:dyDescent="0.25">
      <c r="A1331">
        <v>1304</v>
      </c>
      <c r="B1331">
        <v>36636.700278813005</v>
      </c>
      <c r="C1331">
        <v>-7686.2310788130053</v>
      </c>
    </row>
    <row r="1332" spans="1:3" x14ac:dyDescent="0.25">
      <c r="A1332">
        <v>1305</v>
      </c>
      <c r="B1332">
        <v>18862.765749417762</v>
      </c>
      <c r="C1332">
        <v>-3307.5769994177626</v>
      </c>
    </row>
    <row r="1333" spans="1:3" x14ac:dyDescent="0.25">
      <c r="A1333">
        <v>1306</v>
      </c>
      <c r="B1333">
        <v>15824.955505188153</v>
      </c>
      <c r="C1333">
        <v>-1937.7515051881528</v>
      </c>
    </row>
    <row r="1334" spans="1:3" x14ac:dyDescent="0.25">
      <c r="A1334">
        <v>1307</v>
      </c>
      <c r="B1334">
        <v>14054.772791628775</v>
      </c>
      <c r="C1334">
        <v>-664.21379162877565</v>
      </c>
    </row>
    <row r="1335" spans="1:3" x14ac:dyDescent="0.25">
      <c r="A1335">
        <v>1308</v>
      </c>
      <c r="B1335">
        <v>14795.031017299061</v>
      </c>
      <c r="C1335">
        <v>-1401.2750172990618</v>
      </c>
    </row>
    <row r="1336" spans="1:3" x14ac:dyDescent="0.25">
      <c r="A1336">
        <v>1309</v>
      </c>
      <c r="B1336">
        <v>18371.942360658119</v>
      </c>
      <c r="C1336">
        <v>-3201.8733606581191</v>
      </c>
    </row>
    <row r="1337" spans="1:3" x14ac:dyDescent="0.25">
      <c r="A1337">
        <v>1310</v>
      </c>
      <c r="B1337">
        <v>15944.421278090036</v>
      </c>
      <c r="C1337">
        <v>-1469.7462780900369</v>
      </c>
    </row>
    <row r="1338" spans="1:3" x14ac:dyDescent="0.25">
      <c r="A1338">
        <v>1311</v>
      </c>
      <c r="B1338">
        <v>16001.973776544091</v>
      </c>
      <c r="C1338">
        <v>-2114.0052765440905</v>
      </c>
    </row>
    <row r="1339" spans="1:3" x14ac:dyDescent="0.25">
      <c r="A1339">
        <v>1312</v>
      </c>
      <c r="B1339">
        <v>11586.553288709312</v>
      </c>
      <c r="C1339">
        <v>2763.3011112906879</v>
      </c>
    </row>
    <row r="1340" spans="1:3" x14ac:dyDescent="0.25">
      <c r="A1340">
        <v>1313</v>
      </c>
      <c r="B1340">
        <v>14262.366946218921</v>
      </c>
      <c r="C1340">
        <v>-287.91139621892034</v>
      </c>
    </row>
    <row r="1341" spans="1:3" x14ac:dyDescent="0.25">
      <c r="A1341">
        <v>1314</v>
      </c>
      <c r="B1341">
        <v>16395.774749520922</v>
      </c>
      <c r="C1341">
        <v>-1234.2403495209219</v>
      </c>
    </row>
    <row r="1342" spans="1:3" x14ac:dyDescent="0.25">
      <c r="A1342">
        <v>1315</v>
      </c>
      <c r="B1342">
        <v>12213.782769527021</v>
      </c>
      <c r="C1342">
        <v>2040.8254304729799</v>
      </c>
    </row>
    <row r="1343" spans="1:3" x14ac:dyDescent="0.25">
      <c r="A1343">
        <v>1316</v>
      </c>
      <c r="B1343">
        <v>11113.050973095555</v>
      </c>
      <c r="C1343">
        <v>3336.8034269044456</v>
      </c>
    </row>
    <row r="1344" spans="1:3" x14ac:dyDescent="0.25">
      <c r="A1344">
        <v>1317</v>
      </c>
      <c r="B1344">
        <v>12822.831059480523</v>
      </c>
      <c r="C1344">
        <v>17343.787110519479</v>
      </c>
    </row>
    <row r="1345" spans="1:3" x14ac:dyDescent="0.25">
      <c r="A1345">
        <v>1318</v>
      </c>
      <c r="B1345">
        <v>39231.952475967366</v>
      </c>
      <c r="C1345">
        <v>8059.1025240326344</v>
      </c>
    </row>
    <row r="1346" spans="1:3" x14ac:dyDescent="0.25">
      <c r="A1346">
        <v>1319</v>
      </c>
      <c r="B1346">
        <v>17058.014761934712</v>
      </c>
      <c r="C1346">
        <v>-2156.4980619347116</v>
      </c>
    </row>
    <row r="1347" spans="1:3" x14ac:dyDescent="0.25">
      <c r="A1347">
        <v>1320</v>
      </c>
      <c r="B1347">
        <v>39563.078666516965</v>
      </c>
      <c r="C1347">
        <v>8364.9513334830335</v>
      </c>
    </row>
    <row r="1348" spans="1:3" x14ac:dyDescent="0.25">
      <c r="A1348">
        <v>1321</v>
      </c>
      <c r="B1348">
        <v>15503.472488027111</v>
      </c>
      <c r="C1348">
        <v>-1680.6694880271116</v>
      </c>
    </row>
    <row r="1349" spans="1:3" x14ac:dyDescent="0.25">
      <c r="A1349">
        <v>1322</v>
      </c>
      <c r="B1349">
        <v>15512.661035057859</v>
      </c>
      <c r="C1349">
        <v>943.04681494213946</v>
      </c>
    </row>
    <row r="1350" spans="1:3" x14ac:dyDescent="0.25">
      <c r="A1350">
        <v>1323</v>
      </c>
      <c r="B1350">
        <v>13585.999637313087</v>
      </c>
      <c r="C1350">
        <v>1402.4323626869136</v>
      </c>
    </row>
    <row r="1351" spans="1:3" x14ac:dyDescent="0.25">
      <c r="A1351">
        <v>1324</v>
      </c>
      <c r="B1351">
        <v>15009.430585242813</v>
      </c>
      <c r="C1351">
        <v>-316.7612352428132</v>
      </c>
    </row>
    <row r="1352" spans="1:3" x14ac:dyDescent="0.25">
      <c r="A1352">
        <v>1325</v>
      </c>
      <c r="B1352">
        <v>17476.802339129357</v>
      </c>
      <c r="C1352">
        <v>-3058.5219391293576</v>
      </c>
    </row>
    <row r="1353" spans="1:3" x14ac:dyDescent="0.25">
      <c r="A1353">
        <v>1326</v>
      </c>
      <c r="B1353">
        <v>39115.324463100435</v>
      </c>
      <c r="C1353">
        <v>7773.9367368995663</v>
      </c>
    </row>
    <row r="1354" spans="1:3" x14ac:dyDescent="0.25">
      <c r="A1354">
        <v>1327</v>
      </c>
      <c r="B1354">
        <v>17428.143874769852</v>
      </c>
      <c r="C1354">
        <v>-3597.0286747698519</v>
      </c>
    </row>
    <row r="1355" spans="1:3" x14ac:dyDescent="0.25">
      <c r="A1355">
        <v>1328</v>
      </c>
      <c r="B1355">
        <v>18388.403316085685</v>
      </c>
      <c r="C1355">
        <v>-2303.2758160856847</v>
      </c>
    </row>
    <row r="1356" spans="1:3" x14ac:dyDescent="0.25">
      <c r="A1356">
        <v>1329</v>
      </c>
      <c r="B1356">
        <v>16691.104163124219</v>
      </c>
      <c r="C1356">
        <v>-2280.1720631242188</v>
      </c>
    </row>
    <row r="1357" spans="1:3" x14ac:dyDescent="0.25">
      <c r="A1357">
        <v>1330</v>
      </c>
      <c r="B1357">
        <v>35610.362690252863</v>
      </c>
      <c r="C1357">
        <v>-8572.4485902528613</v>
      </c>
    </row>
    <row r="1358" spans="1:3" x14ac:dyDescent="0.25">
      <c r="A1358">
        <v>1331</v>
      </c>
      <c r="B1358">
        <v>16599.376513421601</v>
      </c>
      <c r="C1358">
        <v>-2388.8405634216015</v>
      </c>
    </row>
    <row r="1359" spans="1:3" x14ac:dyDescent="0.25">
      <c r="A1359">
        <v>1332</v>
      </c>
      <c r="B1359">
        <v>17177.099780846889</v>
      </c>
      <c r="C1359">
        <v>-2858.0687808468883</v>
      </c>
    </row>
    <row r="1360" spans="1:3" x14ac:dyDescent="0.25">
      <c r="A1360">
        <v>1333</v>
      </c>
      <c r="B1360">
        <v>15976.594049651163</v>
      </c>
      <c r="C1360">
        <v>-1662.7477496511638</v>
      </c>
    </row>
    <row r="1361" spans="1:3" x14ac:dyDescent="0.25">
      <c r="A1361">
        <v>1334</v>
      </c>
      <c r="B1361">
        <v>15589.524617659836</v>
      </c>
      <c r="C1361">
        <v>479.56013234016427</v>
      </c>
    </row>
    <row r="1362" spans="1:3" x14ac:dyDescent="0.25">
      <c r="A1362">
        <v>1335</v>
      </c>
      <c r="B1362">
        <v>36863.973902855374</v>
      </c>
      <c r="C1362">
        <v>-7532.990752855374</v>
      </c>
    </row>
    <row r="1363" spans="1:3" x14ac:dyDescent="0.25">
      <c r="A1363">
        <v>1336</v>
      </c>
      <c r="B1363">
        <v>12899.694642082499</v>
      </c>
      <c r="C1363">
        <v>1494.863257917501</v>
      </c>
    </row>
    <row r="1364" spans="1:3" x14ac:dyDescent="0.25">
      <c r="A1364">
        <v>1337</v>
      </c>
      <c r="B1364">
        <v>41053.631413921205</v>
      </c>
      <c r="C1364">
        <v>8524.0309860787966</v>
      </c>
    </row>
    <row r="1365" spans="1:3" ht="15.75" thickBot="1" x14ac:dyDescent="0.3">
      <c r="A1365" s="3">
        <v>1338</v>
      </c>
      <c r="B1365" s="3">
        <v>35858.188270151179</v>
      </c>
      <c r="C1365" s="3">
        <v>-8931.6738701511786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A4F6-BBC3-47B3-931D-608CA0C646B4}">
  <dimension ref="A3:F10"/>
  <sheetViews>
    <sheetView tabSelected="1" topLeftCell="A3" zoomScale="115" zoomScaleNormal="115" workbookViewId="0">
      <selection activeCell="A3" sqref="A3:C6"/>
    </sheetView>
  </sheetViews>
  <sheetFormatPr defaultRowHeight="15" x14ac:dyDescent="0.25"/>
  <cols>
    <col min="1" max="1" width="11.28515625" bestFit="1" customWidth="1"/>
    <col min="2" max="2" width="15.85546875" bestFit="1" customWidth="1"/>
    <col min="3" max="3" width="18.140625" bestFit="1" customWidth="1"/>
    <col min="4" max="4" width="14.85546875" bestFit="1" customWidth="1"/>
    <col min="5" max="5" width="15.85546875" bestFit="1" customWidth="1"/>
    <col min="6" max="6" width="11.28515625" bestFit="1" customWidth="1"/>
  </cols>
  <sheetData>
    <row r="3" spans="1:6" x14ac:dyDescent="0.25">
      <c r="A3" s="7" t="s">
        <v>60</v>
      </c>
      <c r="B3" t="s">
        <v>56</v>
      </c>
      <c r="C3" t="s">
        <v>58</v>
      </c>
      <c r="D3" t="s">
        <v>55</v>
      </c>
      <c r="E3" t="s">
        <v>59</v>
      </c>
    </row>
    <row r="4" spans="1:6" x14ac:dyDescent="0.25">
      <c r="A4" s="8" t="s">
        <v>11</v>
      </c>
      <c r="B4" s="9">
        <v>1064</v>
      </c>
      <c r="C4" s="9">
        <v>8434.2682978562025</v>
      </c>
      <c r="D4" s="9">
        <v>8974061.4689189997</v>
      </c>
      <c r="E4" s="9">
        <v>8974061.4689189997</v>
      </c>
    </row>
    <row r="5" spans="1:6" x14ac:dyDescent="0.25">
      <c r="A5" s="8" t="s">
        <v>8</v>
      </c>
      <c r="B5" s="9">
        <v>274</v>
      </c>
      <c r="C5" s="9">
        <v>32050.231831532848</v>
      </c>
      <c r="D5" s="9">
        <v>8781763.5218400005</v>
      </c>
      <c r="E5" s="9">
        <v>8781763.5218400005</v>
      </c>
    </row>
    <row r="6" spans="1:6" x14ac:dyDescent="0.25">
      <c r="A6" s="8" t="s">
        <v>54</v>
      </c>
      <c r="B6">
        <v>1338</v>
      </c>
      <c r="C6">
        <v>13270.422265141257</v>
      </c>
      <c r="D6">
        <v>17755824.990759</v>
      </c>
      <c r="E6">
        <v>17755824.990759</v>
      </c>
    </row>
    <row r="8" spans="1:6" x14ac:dyDescent="0.25">
      <c r="E8" t="s">
        <v>71</v>
      </c>
      <c r="F8" t="s">
        <v>72</v>
      </c>
    </row>
    <row r="9" spans="1:6" x14ac:dyDescent="0.25">
      <c r="E9" t="s">
        <v>8</v>
      </c>
      <c r="F9">
        <v>34456.348450000005</v>
      </c>
    </row>
    <row r="10" spans="1:6" x14ac:dyDescent="0.25">
      <c r="E10" t="s">
        <v>11</v>
      </c>
      <c r="F10">
        <v>7345.4053000000004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0124-B837-415B-B4C1-2614F2C9F1CE}">
  <dimension ref="A1:C11"/>
  <sheetViews>
    <sheetView workbookViewId="0">
      <selection activeCell="C2" sqref="C2:C10"/>
    </sheetView>
  </sheetViews>
  <sheetFormatPr defaultRowHeight="15" x14ac:dyDescent="0.25"/>
  <cols>
    <col min="1" max="1" width="10" bestFit="1" customWidth="1"/>
    <col min="2" max="2" width="14.140625" bestFit="1" customWidth="1"/>
    <col min="3" max="3" width="14.42578125" customWidth="1"/>
  </cols>
  <sheetData>
    <row r="1" spans="1:3" x14ac:dyDescent="0.25">
      <c r="A1" t="s">
        <v>21</v>
      </c>
      <c r="B1" t="s">
        <v>23</v>
      </c>
      <c r="C1" t="s">
        <v>22</v>
      </c>
    </row>
    <row r="2" spans="1:3" x14ac:dyDescent="0.25">
      <c r="A2" t="s">
        <v>20</v>
      </c>
      <c r="B2" s="2">
        <v>0.78725143049846957</v>
      </c>
      <c r="C2" s="2">
        <f t="shared" ref="C2:C10" si="0">B2*B2</f>
        <v>0.61976481482188672</v>
      </c>
    </row>
    <row r="3" spans="1:3" x14ac:dyDescent="0.25">
      <c r="A3" t="s">
        <v>17</v>
      </c>
      <c r="B3" s="2">
        <v>0.29900819333064738</v>
      </c>
      <c r="C3" s="2">
        <f t="shared" si="0"/>
        <v>8.94058996788578E-2</v>
      </c>
    </row>
    <row r="4" spans="1:3" x14ac:dyDescent="0.25">
      <c r="A4" t="s">
        <v>19</v>
      </c>
      <c r="B4" s="2">
        <v>0.19834096883362864</v>
      </c>
      <c r="C4" s="2">
        <f t="shared" si="0"/>
        <v>3.9339139917862448E-2</v>
      </c>
    </row>
    <row r="5" spans="1:3" x14ac:dyDescent="0.25">
      <c r="A5" t="s">
        <v>12</v>
      </c>
      <c r="B5" s="2">
        <v>7.3981551565758905E-2</v>
      </c>
      <c r="C5" s="2">
        <f t="shared" si="0"/>
        <v>5.4732699720770441E-3</v>
      </c>
    </row>
    <row r="6" spans="1:3" x14ac:dyDescent="0.25">
      <c r="A6" t="s">
        <v>16</v>
      </c>
      <c r="B6" s="2">
        <v>6.7998226847905102E-2</v>
      </c>
      <c r="C6" s="2">
        <f t="shared" si="0"/>
        <v>4.6237588544591627E-3</v>
      </c>
    </row>
    <row r="7" spans="1:3" x14ac:dyDescent="0.25">
      <c r="A7" t="s">
        <v>18</v>
      </c>
      <c r="B7" s="2">
        <v>5.7292062202026005E-2</v>
      </c>
      <c r="C7" s="2">
        <f t="shared" si="0"/>
        <v>3.2823803913608167E-3</v>
      </c>
    </row>
    <row r="8" spans="1:3" x14ac:dyDescent="0.25">
      <c r="A8" t="s">
        <v>9</v>
      </c>
      <c r="B8" s="2">
        <v>-4.3210028991684121E-2</v>
      </c>
      <c r="C8" s="2">
        <f t="shared" si="0"/>
        <v>1.8671066054621822E-3</v>
      </c>
    </row>
    <row r="9" spans="1:3" x14ac:dyDescent="0.25">
      <c r="A9" t="s">
        <v>13</v>
      </c>
      <c r="B9" s="2">
        <v>-3.9904864040437422E-2</v>
      </c>
      <c r="C9" s="2">
        <f t="shared" si="0"/>
        <v>1.5923981740857958E-3</v>
      </c>
    </row>
    <row r="10" spans="1:3" x14ac:dyDescent="0.25">
      <c r="A10" t="s">
        <v>14</v>
      </c>
      <c r="B10" s="2">
        <v>6.3487712801559631E-3</v>
      </c>
      <c r="C10" s="2">
        <f t="shared" si="0"/>
        <v>4.0306896767733188E-5</v>
      </c>
    </row>
    <row r="11" spans="1:3" x14ac:dyDescent="0.25">
      <c r="C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DAA2-1533-46DB-83AB-0AFCA6F5A4ED}">
  <dimension ref="A1:C7"/>
  <sheetViews>
    <sheetView workbookViewId="0">
      <selection activeCell="D12" sqref="D12"/>
    </sheetView>
  </sheetViews>
  <sheetFormatPr defaultRowHeight="15" x14ac:dyDescent="0.25"/>
  <cols>
    <col min="1" max="1" width="7" bestFit="1" customWidth="1"/>
    <col min="2" max="2" width="33.140625" bestFit="1" customWidth="1"/>
  </cols>
  <sheetData>
    <row r="1" spans="1:3" x14ac:dyDescent="0.25">
      <c r="A1" t="s">
        <v>61</v>
      </c>
      <c r="B1" t="s">
        <v>62</v>
      </c>
      <c r="C1" t="s">
        <v>67</v>
      </c>
    </row>
    <row r="2" spans="1:3" x14ac:dyDescent="0.25">
      <c r="A2">
        <v>1</v>
      </c>
      <c r="B2" t="s">
        <v>68</v>
      </c>
      <c r="C2">
        <v>18.489999999999998</v>
      </c>
    </row>
    <row r="3" spans="1:3" x14ac:dyDescent="0.25">
      <c r="A3">
        <v>2</v>
      </c>
      <c r="B3" t="s">
        <v>63</v>
      </c>
      <c r="C3">
        <v>24.9</v>
      </c>
    </row>
    <row r="4" spans="1:3" x14ac:dyDescent="0.25">
      <c r="A4">
        <v>3</v>
      </c>
      <c r="B4" t="s">
        <v>64</v>
      </c>
      <c r="C4">
        <v>29.9</v>
      </c>
    </row>
    <row r="5" spans="1:3" x14ac:dyDescent="0.25">
      <c r="A5">
        <v>4</v>
      </c>
      <c r="B5" t="s">
        <v>65</v>
      </c>
      <c r="C5">
        <v>34.9</v>
      </c>
    </row>
    <row r="6" spans="1:3" x14ac:dyDescent="0.25">
      <c r="A6">
        <v>5</v>
      </c>
      <c r="B6" t="s">
        <v>70</v>
      </c>
      <c r="C6">
        <v>39.9</v>
      </c>
    </row>
    <row r="7" spans="1:3" x14ac:dyDescent="0.25">
      <c r="A7">
        <v>6</v>
      </c>
      <c r="B7" t="s">
        <v>66</v>
      </c>
      <c r="C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0005-0EB6-421B-BBCA-05E219000FB2}">
  <dimension ref="A3:D11"/>
  <sheetViews>
    <sheetView workbookViewId="0">
      <selection activeCell="C20" sqref="C20"/>
    </sheetView>
  </sheetViews>
  <sheetFormatPr defaultRowHeight="15" x14ac:dyDescent="0.25"/>
  <cols>
    <col min="1" max="1" width="33.140625" bestFit="1" customWidth="1"/>
    <col min="2" max="2" width="16.85546875" bestFit="1" customWidth="1"/>
    <col min="3" max="4" width="12" bestFit="1" customWidth="1"/>
    <col min="5" max="5" width="18.140625" bestFit="1" customWidth="1"/>
    <col min="6" max="6" width="20.85546875" bestFit="1" customWidth="1"/>
    <col min="7" max="7" width="23.140625" bestFit="1" customWidth="1"/>
  </cols>
  <sheetData>
    <row r="3" spans="1:4" x14ac:dyDescent="0.25">
      <c r="A3" s="7" t="s">
        <v>58</v>
      </c>
      <c r="B3" s="7" t="s">
        <v>57</v>
      </c>
    </row>
    <row r="4" spans="1:4" x14ac:dyDescent="0.25">
      <c r="A4" s="7" t="s">
        <v>53</v>
      </c>
      <c r="B4" t="s">
        <v>11</v>
      </c>
      <c r="C4" t="s">
        <v>8</v>
      </c>
      <c r="D4" t="s">
        <v>54</v>
      </c>
    </row>
    <row r="5" spans="1:4" x14ac:dyDescent="0.25">
      <c r="A5" s="8" t="s">
        <v>66</v>
      </c>
      <c r="B5">
        <v>8267.5562280555569</v>
      </c>
      <c r="C5">
        <v>45467.786145714286</v>
      </c>
      <c r="D5">
        <v>16667.608144946233</v>
      </c>
    </row>
    <row r="6" spans="1:4" x14ac:dyDescent="0.25">
      <c r="A6" s="8" t="s">
        <v>70</v>
      </c>
      <c r="B6">
        <v>9621.2999058620626</v>
      </c>
      <c r="C6">
        <v>42756.856970000001</v>
      </c>
      <c r="D6">
        <v>17245.410380796453</v>
      </c>
    </row>
    <row r="7" spans="1:4" x14ac:dyDescent="0.25">
      <c r="A7" s="8" t="s">
        <v>65</v>
      </c>
      <c r="B7">
        <v>8493.068879783279</v>
      </c>
      <c r="C7">
        <v>39204.495822027042</v>
      </c>
      <c r="D7">
        <v>14217.616974811081</v>
      </c>
    </row>
    <row r="8" spans="1:4" x14ac:dyDescent="0.25">
      <c r="A8" s="8" t="s">
        <v>64</v>
      </c>
      <c r="B8">
        <v>8348.3679981785717</v>
      </c>
      <c r="C8">
        <v>22379.034063055562</v>
      </c>
      <c r="D8">
        <v>11006.809989418423</v>
      </c>
    </row>
    <row r="9" spans="1:4" x14ac:dyDescent="0.25">
      <c r="A9" s="8" t="s">
        <v>63</v>
      </c>
      <c r="B9">
        <v>7599.6381306395351</v>
      </c>
      <c r="C9">
        <v>19942.223641399996</v>
      </c>
      <c r="D9">
        <v>10379.499732162169</v>
      </c>
    </row>
    <row r="10" spans="1:4" x14ac:dyDescent="0.25">
      <c r="A10" s="8" t="s">
        <v>68</v>
      </c>
      <c r="B10">
        <v>5532.9924533333342</v>
      </c>
      <c r="C10">
        <v>18809.824979999998</v>
      </c>
      <c r="D10">
        <v>8852.2005850000023</v>
      </c>
    </row>
    <row r="11" spans="1:4" x14ac:dyDescent="0.25">
      <c r="A11" s="8" t="s">
        <v>54</v>
      </c>
      <c r="B11">
        <v>8434.2682978561879</v>
      </c>
      <c r="C11">
        <v>32050.231831532856</v>
      </c>
      <c r="D11">
        <v>13270.422265141257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2ABF-C78E-423F-BA9B-A1D167134D29}">
  <dimension ref="A1:K1339"/>
  <sheetViews>
    <sheetView topLeftCell="A1324" workbookViewId="0">
      <selection activeCell="K1" sqref="A1:K1339"/>
    </sheetView>
  </sheetViews>
  <sheetFormatPr defaultRowHeight="15" x14ac:dyDescent="0.25"/>
  <cols>
    <col min="1" max="1" width="7.28515625" bestFit="1" customWidth="1"/>
    <col min="2" max="2" width="4.140625" bestFit="1" customWidth="1"/>
    <col min="3" max="3" width="7" bestFit="1" customWidth="1"/>
    <col min="4" max="4" width="8.28515625" bestFit="1" customWidth="1"/>
    <col min="5" max="5" width="11.7109375" bestFit="1" customWidth="1"/>
    <col min="6" max="6" width="12" bestFit="1" customWidth="1"/>
    <col min="7" max="7" width="10" bestFit="1" customWidth="1"/>
    <col min="8" max="8" width="7.5703125" bestFit="1" customWidth="1"/>
    <col min="9" max="10" width="7" bestFit="1" customWidth="1"/>
    <col min="11" max="11" width="33.140625" bestFit="1" customWidth="1"/>
  </cols>
  <sheetData>
    <row r="1" spans="1:11" x14ac:dyDescent="0.25">
      <c r="A1" t="s">
        <v>15</v>
      </c>
      <c r="B1" t="s">
        <v>0</v>
      </c>
      <c r="C1" t="s">
        <v>2</v>
      </c>
      <c r="D1" t="s">
        <v>3</v>
      </c>
      <c r="E1" t="s">
        <v>24</v>
      </c>
      <c r="F1" t="s">
        <v>6</v>
      </c>
      <c r="G1" t="s">
        <v>5</v>
      </c>
      <c r="H1" t="s">
        <v>4</v>
      </c>
      <c r="I1" t="s">
        <v>1</v>
      </c>
      <c r="J1" t="s">
        <v>61</v>
      </c>
      <c r="K1" t="s">
        <v>69</v>
      </c>
    </row>
    <row r="2" spans="1:11" x14ac:dyDescent="0.25">
      <c r="A2" s="1">
        <v>2</v>
      </c>
      <c r="B2">
        <v>18</v>
      </c>
      <c r="C2">
        <v>33.770000000000003</v>
      </c>
      <c r="D2">
        <v>1</v>
      </c>
      <c r="E2">
        <f>IF(H2="yes",1,0)</f>
        <v>0</v>
      </c>
      <c r="F2">
        <v>1725.5523000000001</v>
      </c>
      <c r="G2" t="s">
        <v>12</v>
      </c>
      <c r="H2" t="s">
        <v>11</v>
      </c>
      <c r="I2" t="s">
        <v>10</v>
      </c>
      <c r="J2">
        <f>_xlfn.XLOOKUP(C2,dim_BMI!$C$2:$C$7,dim_BMI!$A$2:$A$7,,1)</f>
        <v>4</v>
      </c>
      <c r="K2" t="str">
        <f>_xlfn.XLOOKUP(C2,dim_BMI!$C$2:$C$7,dim_BMI!$B$2:$B$7,,1)</f>
        <v>30.0 to 34.9 (Obesity Class 1)</v>
      </c>
    </row>
    <row r="3" spans="1:11" x14ac:dyDescent="0.25">
      <c r="A3" s="1">
        <v>23</v>
      </c>
      <c r="B3">
        <v>18</v>
      </c>
      <c r="C3">
        <v>34.1</v>
      </c>
      <c r="D3">
        <v>0</v>
      </c>
      <c r="E3">
        <f t="shared" ref="E3:E66" si="0">IF(H3="yes",1,0)</f>
        <v>0</v>
      </c>
      <c r="F3">
        <v>1137.011</v>
      </c>
      <c r="G3" t="s">
        <v>12</v>
      </c>
      <c r="H3" t="s">
        <v>11</v>
      </c>
      <c r="I3" t="s">
        <v>10</v>
      </c>
      <c r="J3">
        <f>_xlfn.XLOOKUP(C3,dim_BMI!$C$2:$C$7,dim_BMI!$A$2:$A$7,,1)</f>
        <v>4</v>
      </c>
      <c r="K3" t="str">
        <f>_xlfn.XLOOKUP(C3,dim_BMI!$C$2:$C$7,dim_BMI!$B$2:$B$7,,1)</f>
        <v>30.0 to 34.9 (Obesity Class 1)</v>
      </c>
    </row>
    <row r="4" spans="1:11" x14ac:dyDescent="0.25">
      <c r="A4" s="1">
        <v>32</v>
      </c>
      <c r="B4">
        <v>18</v>
      </c>
      <c r="C4">
        <v>26.315000000000001</v>
      </c>
      <c r="D4">
        <v>0</v>
      </c>
      <c r="E4">
        <f t="shared" si="0"/>
        <v>0</v>
      </c>
      <c r="F4">
        <v>2198.1898500000002</v>
      </c>
      <c r="G4" t="s">
        <v>14</v>
      </c>
      <c r="H4" t="s">
        <v>11</v>
      </c>
      <c r="I4" t="s">
        <v>7</v>
      </c>
      <c r="J4">
        <f>_xlfn.XLOOKUP(C4,dim_BMI!$C$2:$C$7,dim_BMI!$A$2:$A$7,,1)</f>
        <v>3</v>
      </c>
      <c r="K4" t="str">
        <f>_xlfn.XLOOKUP(C4,dim_BMI!$C$2:$C$7,dim_BMI!$B$2:$B$7,,1)</f>
        <v>25.0 to 29.9 (Overweight)</v>
      </c>
    </row>
    <row r="5" spans="1:11" x14ac:dyDescent="0.25">
      <c r="A5" s="1">
        <v>47</v>
      </c>
      <c r="B5">
        <v>18</v>
      </c>
      <c r="C5">
        <v>38.664999999999999</v>
      </c>
      <c r="D5">
        <v>2</v>
      </c>
      <c r="E5">
        <f t="shared" si="0"/>
        <v>0</v>
      </c>
      <c r="F5">
        <v>3393.35635</v>
      </c>
      <c r="G5" t="s">
        <v>14</v>
      </c>
      <c r="H5" t="s">
        <v>11</v>
      </c>
      <c r="I5" t="s">
        <v>7</v>
      </c>
      <c r="J5">
        <f>_xlfn.XLOOKUP(C5,dim_BMI!$C$2:$C$7,dim_BMI!$A$2:$A$7,,1)</f>
        <v>5</v>
      </c>
      <c r="K5" t="str">
        <f>_xlfn.XLOOKUP(C5,dim_BMI!$C$2:$C$7,dim_BMI!$B$2:$B$7,,1)</f>
        <v>35 to 39.9 (Obesity Class 2)</v>
      </c>
    </row>
    <row r="6" spans="1:11" x14ac:dyDescent="0.25">
      <c r="A6" s="1">
        <v>51</v>
      </c>
      <c r="B6">
        <v>18</v>
      </c>
      <c r="C6">
        <v>35.625</v>
      </c>
      <c r="D6">
        <v>0</v>
      </c>
      <c r="E6">
        <f t="shared" si="0"/>
        <v>0</v>
      </c>
      <c r="F6">
        <v>2211.1307499999998</v>
      </c>
      <c r="G6" t="s">
        <v>14</v>
      </c>
      <c r="H6" t="s">
        <v>11</v>
      </c>
      <c r="I6" t="s">
        <v>7</v>
      </c>
      <c r="J6">
        <f>_xlfn.XLOOKUP(C6,dim_BMI!$C$2:$C$7,dim_BMI!$A$2:$A$7,,1)</f>
        <v>5</v>
      </c>
      <c r="K6" t="str">
        <f>_xlfn.XLOOKUP(C6,dim_BMI!$C$2:$C$7,dim_BMI!$B$2:$B$7,,1)</f>
        <v>35 to 39.9 (Obesity Class 2)</v>
      </c>
    </row>
    <row r="7" spans="1:11" x14ac:dyDescent="0.25">
      <c r="A7" s="1">
        <v>58</v>
      </c>
      <c r="B7">
        <v>18</v>
      </c>
      <c r="C7">
        <v>31.68</v>
      </c>
      <c r="D7">
        <v>2</v>
      </c>
      <c r="E7">
        <f t="shared" si="0"/>
        <v>1</v>
      </c>
      <c r="F7">
        <v>34303.167200000004</v>
      </c>
      <c r="G7" t="s">
        <v>12</v>
      </c>
      <c r="H7" t="s">
        <v>8</v>
      </c>
      <c r="I7" t="s">
        <v>10</v>
      </c>
      <c r="J7">
        <f>_xlfn.XLOOKUP(C7,dim_BMI!$C$2:$C$7,dim_BMI!$A$2:$A$7,,1)</f>
        <v>4</v>
      </c>
      <c r="K7" t="str">
        <f>_xlfn.XLOOKUP(C7,dim_BMI!$C$2:$C$7,dim_BMI!$B$2:$B$7,,1)</f>
        <v>30.0 to 34.9 (Obesity Class 1)</v>
      </c>
    </row>
    <row r="8" spans="1:11" x14ac:dyDescent="0.25">
      <c r="A8" s="1">
        <v>103</v>
      </c>
      <c r="B8">
        <v>18</v>
      </c>
      <c r="C8">
        <v>30.114999999999998</v>
      </c>
      <c r="D8">
        <v>0</v>
      </c>
      <c r="E8">
        <f t="shared" si="0"/>
        <v>0</v>
      </c>
      <c r="F8">
        <v>21344.846699999998</v>
      </c>
      <c r="G8" t="s">
        <v>14</v>
      </c>
      <c r="H8" t="s">
        <v>11</v>
      </c>
      <c r="I8" t="s">
        <v>7</v>
      </c>
      <c r="J8">
        <f>_xlfn.XLOOKUP(C8,dim_BMI!$C$2:$C$7,dim_BMI!$A$2:$A$7,,1)</f>
        <v>4</v>
      </c>
      <c r="K8" t="str">
        <f>_xlfn.XLOOKUP(C8,dim_BMI!$C$2:$C$7,dim_BMI!$B$2:$B$7,,1)</f>
        <v>30.0 to 34.9 (Obesity Class 1)</v>
      </c>
    </row>
    <row r="9" spans="1:11" x14ac:dyDescent="0.25">
      <c r="A9" s="1">
        <v>122</v>
      </c>
      <c r="B9">
        <v>18</v>
      </c>
      <c r="C9">
        <v>23.75</v>
      </c>
      <c r="D9">
        <v>0</v>
      </c>
      <c r="E9">
        <f t="shared" si="0"/>
        <v>0</v>
      </c>
      <c r="F9">
        <v>1705.6244999999999</v>
      </c>
      <c r="G9" t="s">
        <v>14</v>
      </c>
      <c r="H9" t="s">
        <v>11</v>
      </c>
      <c r="I9" t="s">
        <v>10</v>
      </c>
      <c r="J9">
        <f>_xlfn.XLOOKUP(C9,dim_BMI!$C$2:$C$7,dim_BMI!$A$2:$A$7,,1)</f>
        <v>2</v>
      </c>
      <c r="K9" t="str">
        <f>_xlfn.XLOOKUP(C9,dim_BMI!$C$2:$C$7,dim_BMI!$B$2:$B$7,,1)</f>
        <v>18.5 to 24.9 (Healthy Weight)</v>
      </c>
    </row>
    <row r="10" spans="1:11" x14ac:dyDescent="0.25">
      <c r="A10" s="1">
        <v>158</v>
      </c>
      <c r="B10">
        <v>18</v>
      </c>
      <c r="C10">
        <v>25.175000000000001</v>
      </c>
      <c r="D10">
        <v>0</v>
      </c>
      <c r="E10">
        <f t="shared" si="0"/>
        <v>1</v>
      </c>
      <c r="F10">
        <v>15518.180249999999</v>
      </c>
      <c r="G10" t="s">
        <v>14</v>
      </c>
      <c r="H10" t="s">
        <v>8</v>
      </c>
      <c r="I10" t="s">
        <v>10</v>
      </c>
      <c r="J10">
        <f>_xlfn.XLOOKUP(C10,dim_BMI!$C$2:$C$7,dim_BMI!$A$2:$A$7,,1)</f>
        <v>3</v>
      </c>
      <c r="K10" t="str">
        <f>_xlfn.XLOOKUP(C10,dim_BMI!$C$2:$C$7,dim_BMI!$B$2:$B$7,,1)</f>
        <v>25.0 to 29.9 (Overweight)</v>
      </c>
    </row>
    <row r="11" spans="1:11" x14ac:dyDescent="0.25">
      <c r="A11" s="1">
        <v>162</v>
      </c>
      <c r="B11">
        <v>18</v>
      </c>
      <c r="C11">
        <v>36.85</v>
      </c>
      <c r="D11">
        <v>0</v>
      </c>
      <c r="E11">
        <f t="shared" si="0"/>
        <v>1</v>
      </c>
      <c r="F11">
        <v>36149.483500000002</v>
      </c>
      <c r="G11" t="s">
        <v>12</v>
      </c>
      <c r="H11" t="s">
        <v>8</v>
      </c>
      <c r="I11" t="s">
        <v>7</v>
      </c>
      <c r="J11">
        <f>_xlfn.XLOOKUP(C11,dim_BMI!$C$2:$C$7,dim_BMI!$A$2:$A$7,,1)</f>
        <v>5</v>
      </c>
      <c r="K11" t="str">
        <f>_xlfn.XLOOKUP(C11,dim_BMI!$C$2:$C$7,dim_BMI!$B$2:$B$7,,1)</f>
        <v>35 to 39.9 (Obesity Class 2)</v>
      </c>
    </row>
    <row r="12" spans="1:11" x14ac:dyDescent="0.25">
      <c r="A12" s="1">
        <v>173</v>
      </c>
      <c r="B12">
        <v>18</v>
      </c>
      <c r="C12">
        <v>15.96</v>
      </c>
      <c r="D12">
        <v>0</v>
      </c>
      <c r="E12">
        <f t="shared" si="0"/>
        <v>0</v>
      </c>
      <c r="F12">
        <v>1694.7963999999999</v>
      </c>
      <c r="G12" t="s">
        <v>14</v>
      </c>
      <c r="H12" t="s">
        <v>11</v>
      </c>
      <c r="I12" t="s">
        <v>10</v>
      </c>
      <c r="J12">
        <f>_xlfn.XLOOKUP(C12,dim_BMI!$C$2:$C$7,dim_BMI!$A$2:$A$7,,1)</f>
        <v>1</v>
      </c>
      <c r="K12" t="str">
        <f>_xlfn.XLOOKUP(C12,dim_BMI!$C$2:$C$7,dim_BMI!$B$2:$B$7,,1)</f>
        <v>18.49 or less (Underweight)</v>
      </c>
    </row>
    <row r="13" spans="1:11" x14ac:dyDescent="0.25">
      <c r="A13" s="1">
        <v>182</v>
      </c>
      <c r="B13">
        <v>18</v>
      </c>
      <c r="C13">
        <v>38.28</v>
      </c>
      <c r="D13">
        <v>0</v>
      </c>
      <c r="E13">
        <f t="shared" si="0"/>
        <v>0</v>
      </c>
      <c r="F13">
        <v>1631.8212000000001</v>
      </c>
      <c r="G13" t="s">
        <v>12</v>
      </c>
      <c r="H13" t="s">
        <v>11</v>
      </c>
      <c r="I13" t="s">
        <v>7</v>
      </c>
      <c r="J13">
        <f>_xlfn.XLOOKUP(C13,dim_BMI!$C$2:$C$7,dim_BMI!$A$2:$A$7,,1)</f>
        <v>5</v>
      </c>
      <c r="K13" t="str">
        <f>_xlfn.XLOOKUP(C13,dim_BMI!$C$2:$C$7,dim_BMI!$B$2:$B$7,,1)</f>
        <v>35 to 39.9 (Obesity Class 2)</v>
      </c>
    </row>
    <row r="14" spans="1:11" x14ac:dyDescent="0.25">
      <c r="A14" s="1">
        <v>195</v>
      </c>
      <c r="B14">
        <v>18</v>
      </c>
      <c r="C14">
        <v>34.43</v>
      </c>
      <c r="D14">
        <v>0</v>
      </c>
      <c r="E14">
        <f t="shared" si="0"/>
        <v>0</v>
      </c>
      <c r="F14">
        <v>1137.4697000000001</v>
      </c>
      <c r="G14" t="s">
        <v>12</v>
      </c>
      <c r="H14" t="s">
        <v>11</v>
      </c>
      <c r="I14" t="s">
        <v>10</v>
      </c>
      <c r="J14">
        <f>_xlfn.XLOOKUP(C14,dim_BMI!$C$2:$C$7,dim_BMI!$A$2:$A$7,,1)</f>
        <v>4</v>
      </c>
      <c r="K14" t="str">
        <f>_xlfn.XLOOKUP(C14,dim_BMI!$C$2:$C$7,dim_BMI!$B$2:$B$7,,1)</f>
        <v>30.0 to 34.9 (Obesity Class 1)</v>
      </c>
    </row>
    <row r="15" spans="1:11" x14ac:dyDescent="0.25">
      <c r="A15" s="1">
        <v>237</v>
      </c>
      <c r="B15">
        <v>18</v>
      </c>
      <c r="C15">
        <v>26.73</v>
      </c>
      <c r="D15">
        <v>0</v>
      </c>
      <c r="E15">
        <f t="shared" si="0"/>
        <v>0</v>
      </c>
      <c r="F15">
        <v>1615.7666999999999</v>
      </c>
      <c r="G15" t="s">
        <v>12</v>
      </c>
      <c r="H15" t="s">
        <v>11</v>
      </c>
      <c r="I15" t="s">
        <v>7</v>
      </c>
      <c r="J15">
        <f>_xlfn.XLOOKUP(C15,dim_BMI!$C$2:$C$7,dim_BMI!$A$2:$A$7,,1)</f>
        <v>3</v>
      </c>
      <c r="K15" t="str">
        <f>_xlfn.XLOOKUP(C15,dim_BMI!$C$2:$C$7,dim_BMI!$B$2:$B$7,,1)</f>
        <v>25.0 to 29.9 (Overweight)</v>
      </c>
    </row>
    <row r="16" spans="1:11" x14ac:dyDescent="0.25">
      <c r="A16" s="1">
        <v>251</v>
      </c>
      <c r="B16">
        <v>18</v>
      </c>
      <c r="C16">
        <v>17.29</v>
      </c>
      <c r="D16">
        <v>2</v>
      </c>
      <c r="E16">
        <f t="shared" si="0"/>
        <v>1</v>
      </c>
      <c r="F16">
        <v>12829.455099999999</v>
      </c>
      <c r="G16" t="s">
        <v>14</v>
      </c>
      <c r="H16" t="s">
        <v>8</v>
      </c>
      <c r="I16" t="s">
        <v>10</v>
      </c>
      <c r="J16">
        <f>_xlfn.XLOOKUP(C16,dim_BMI!$C$2:$C$7,dim_BMI!$A$2:$A$7,,1)</f>
        <v>1</v>
      </c>
      <c r="K16" t="str">
        <f>_xlfn.XLOOKUP(C16,dim_BMI!$C$2:$C$7,dim_BMI!$B$2:$B$7,,1)</f>
        <v>18.49 or less (Underweight)</v>
      </c>
    </row>
    <row r="17" spans="1:11" x14ac:dyDescent="0.25">
      <c r="A17" s="1">
        <v>271</v>
      </c>
      <c r="B17">
        <v>18</v>
      </c>
      <c r="C17">
        <v>29.37</v>
      </c>
      <c r="D17">
        <v>1</v>
      </c>
      <c r="E17">
        <f t="shared" si="0"/>
        <v>0</v>
      </c>
      <c r="F17">
        <v>1719.4363000000001</v>
      </c>
      <c r="G17" t="s">
        <v>12</v>
      </c>
      <c r="H17" t="s">
        <v>11</v>
      </c>
      <c r="I17" t="s">
        <v>10</v>
      </c>
      <c r="J17">
        <f>_xlfn.XLOOKUP(C17,dim_BMI!$C$2:$C$7,dim_BMI!$A$2:$A$7,,1)</f>
        <v>3</v>
      </c>
      <c r="K17" t="str">
        <f>_xlfn.XLOOKUP(C17,dim_BMI!$C$2:$C$7,dim_BMI!$B$2:$B$7,,1)</f>
        <v>25.0 to 29.9 (Overweight)</v>
      </c>
    </row>
    <row r="18" spans="1:11" x14ac:dyDescent="0.25">
      <c r="A18" s="1">
        <v>296</v>
      </c>
      <c r="B18">
        <v>18</v>
      </c>
      <c r="C18">
        <v>22.99</v>
      </c>
      <c r="D18">
        <v>0</v>
      </c>
      <c r="E18">
        <f t="shared" si="0"/>
        <v>0</v>
      </c>
      <c r="F18">
        <v>1704.5681</v>
      </c>
      <c r="G18" t="s">
        <v>14</v>
      </c>
      <c r="H18" t="s">
        <v>11</v>
      </c>
      <c r="I18" t="s">
        <v>10</v>
      </c>
      <c r="J18">
        <f>_xlfn.XLOOKUP(C18,dim_BMI!$C$2:$C$7,dim_BMI!$A$2:$A$7,,1)</f>
        <v>2</v>
      </c>
      <c r="K18" t="str">
        <f>_xlfn.XLOOKUP(C18,dim_BMI!$C$2:$C$7,dim_BMI!$B$2:$B$7,,1)</f>
        <v>18.5 to 24.9 (Healthy Weight)</v>
      </c>
    </row>
    <row r="19" spans="1:11" x14ac:dyDescent="0.25">
      <c r="A19" s="1">
        <v>355</v>
      </c>
      <c r="B19">
        <v>18</v>
      </c>
      <c r="C19">
        <v>38.28</v>
      </c>
      <c r="D19">
        <v>0</v>
      </c>
      <c r="E19">
        <f t="shared" si="0"/>
        <v>0</v>
      </c>
      <c r="F19">
        <v>14133.03775</v>
      </c>
      <c r="G19" t="s">
        <v>12</v>
      </c>
      <c r="H19" t="s">
        <v>11</v>
      </c>
      <c r="I19" t="s">
        <v>7</v>
      </c>
      <c r="J19">
        <f>_xlfn.XLOOKUP(C19,dim_BMI!$C$2:$C$7,dim_BMI!$A$2:$A$7,,1)</f>
        <v>5</v>
      </c>
      <c r="K19" t="str">
        <f>_xlfn.XLOOKUP(C19,dim_BMI!$C$2:$C$7,dim_BMI!$B$2:$B$7,,1)</f>
        <v>35 to 39.9 (Obesity Class 2)</v>
      </c>
    </row>
    <row r="20" spans="1:11" x14ac:dyDescent="0.25">
      <c r="A20" s="1">
        <v>360</v>
      </c>
      <c r="B20">
        <v>18</v>
      </c>
      <c r="C20">
        <v>20.79</v>
      </c>
      <c r="D20">
        <v>0</v>
      </c>
      <c r="E20">
        <f t="shared" si="0"/>
        <v>0</v>
      </c>
      <c r="F20">
        <v>1607.5101</v>
      </c>
      <c r="G20" t="s">
        <v>12</v>
      </c>
      <c r="H20" t="s">
        <v>11</v>
      </c>
      <c r="I20" t="s">
        <v>7</v>
      </c>
      <c r="J20">
        <f>_xlfn.XLOOKUP(C20,dim_BMI!$C$2:$C$7,dim_BMI!$A$2:$A$7,,1)</f>
        <v>2</v>
      </c>
      <c r="K20" t="str">
        <f>_xlfn.XLOOKUP(C20,dim_BMI!$C$2:$C$7,dim_BMI!$B$2:$B$7,,1)</f>
        <v>18.5 to 24.9 (Healthy Weight)</v>
      </c>
    </row>
    <row r="21" spans="1:11" x14ac:dyDescent="0.25">
      <c r="A21" s="1">
        <v>370</v>
      </c>
      <c r="B21">
        <v>18</v>
      </c>
      <c r="C21">
        <v>30.4</v>
      </c>
      <c r="D21">
        <v>3</v>
      </c>
      <c r="E21">
        <f t="shared" si="0"/>
        <v>0</v>
      </c>
      <c r="F21">
        <v>3481.8679999999999</v>
      </c>
      <c r="G21" t="s">
        <v>14</v>
      </c>
      <c r="H21" t="s">
        <v>11</v>
      </c>
      <c r="I21" t="s">
        <v>10</v>
      </c>
      <c r="J21">
        <f>_xlfn.XLOOKUP(C21,dim_BMI!$C$2:$C$7,dim_BMI!$A$2:$A$7,,1)</f>
        <v>4</v>
      </c>
      <c r="K21" t="str">
        <f>_xlfn.XLOOKUP(C21,dim_BMI!$C$2:$C$7,dim_BMI!$B$2:$B$7,,1)</f>
        <v>30.0 to 34.9 (Obesity Class 1)</v>
      </c>
    </row>
    <row r="22" spans="1:11" x14ac:dyDescent="0.25">
      <c r="A22" s="1">
        <v>400</v>
      </c>
      <c r="B22">
        <v>18</v>
      </c>
      <c r="C22">
        <v>38.17</v>
      </c>
      <c r="D22">
        <v>0</v>
      </c>
      <c r="E22">
        <f t="shared" si="0"/>
        <v>0</v>
      </c>
      <c r="F22">
        <v>1631.6683</v>
      </c>
      <c r="G22" t="s">
        <v>12</v>
      </c>
      <c r="H22" t="s">
        <v>11</v>
      </c>
      <c r="I22" t="s">
        <v>7</v>
      </c>
      <c r="J22">
        <f>_xlfn.XLOOKUP(C22,dim_BMI!$C$2:$C$7,dim_BMI!$A$2:$A$7,,1)</f>
        <v>5</v>
      </c>
      <c r="K22" t="str">
        <f>_xlfn.XLOOKUP(C22,dim_BMI!$C$2:$C$7,dim_BMI!$B$2:$B$7,,1)</f>
        <v>35 to 39.9 (Obesity Class 2)</v>
      </c>
    </row>
    <row r="23" spans="1:11" x14ac:dyDescent="0.25">
      <c r="A23" s="1">
        <v>428</v>
      </c>
      <c r="B23">
        <v>18</v>
      </c>
      <c r="C23">
        <v>29.164999999999999</v>
      </c>
      <c r="D23">
        <v>0</v>
      </c>
      <c r="E23">
        <f t="shared" si="0"/>
        <v>0</v>
      </c>
      <c r="F23">
        <v>7323.7348190000002</v>
      </c>
      <c r="G23" t="s">
        <v>14</v>
      </c>
      <c r="H23" t="s">
        <v>11</v>
      </c>
      <c r="I23" t="s">
        <v>7</v>
      </c>
      <c r="J23">
        <f>_xlfn.XLOOKUP(C23,dim_BMI!$C$2:$C$7,dim_BMI!$A$2:$A$7,,1)</f>
        <v>3</v>
      </c>
      <c r="K23" t="str">
        <f>_xlfn.XLOOKUP(C23,dim_BMI!$C$2:$C$7,dim_BMI!$B$2:$B$7,,1)</f>
        <v>25.0 to 29.9 (Overweight)</v>
      </c>
    </row>
    <row r="24" spans="1:11" x14ac:dyDescent="0.25">
      <c r="A24" s="1">
        <v>443</v>
      </c>
      <c r="B24">
        <v>18</v>
      </c>
      <c r="C24">
        <v>43.01</v>
      </c>
      <c r="D24">
        <v>0</v>
      </c>
      <c r="E24">
        <f t="shared" si="0"/>
        <v>0</v>
      </c>
      <c r="F24">
        <v>1149.3959</v>
      </c>
      <c r="G24" t="s">
        <v>12</v>
      </c>
      <c r="H24" t="s">
        <v>11</v>
      </c>
      <c r="I24" t="s">
        <v>10</v>
      </c>
      <c r="J24">
        <f>_xlfn.XLOOKUP(C24,dim_BMI!$C$2:$C$7,dim_BMI!$A$2:$A$7,,1)</f>
        <v>6</v>
      </c>
      <c r="K24" t="str">
        <f>_xlfn.XLOOKUP(C24,dim_BMI!$C$2:$C$7,dim_BMI!$B$2:$B$7,,1)</f>
        <v>40 or higher (Severe Obesity Class 3)</v>
      </c>
    </row>
    <row r="25" spans="1:11" x14ac:dyDescent="0.25">
      <c r="A25" s="1">
        <v>470</v>
      </c>
      <c r="B25">
        <v>18</v>
      </c>
      <c r="C25">
        <v>24.09</v>
      </c>
      <c r="D25">
        <v>1</v>
      </c>
      <c r="E25">
        <f t="shared" si="0"/>
        <v>0</v>
      </c>
      <c r="F25">
        <v>2201.0971</v>
      </c>
      <c r="G25" t="s">
        <v>12</v>
      </c>
      <c r="H25" t="s">
        <v>11</v>
      </c>
      <c r="I25" t="s">
        <v>7</v>
      </c>
      <c r="J25">
        <f>_xlfn.XLOOKUP(C25,dim_BMI!$C$2:$C$7,dim_BMI!$A$2:$A$7,,1)</f>
        <v>2</v>
      </c>
      <c r="K25" t="str">
        <f>_xlfn.XLOOKUP(C25,dim_BMI!$C$2:$C$7,dim_BMI!$B$2:$B$7,,1)</f>
        <v>18.5 to 24.9 (Healthy Weight)</v>
      </c>
    </row>
    <row r="26" spans="1:11" x14ac:dyDescent="0.25">
      <c r="A26" s="1">
        <v>472</v>
      </c>
      <c r="B26">
        <v>18</v>
      </c>
      <c r="C26">
        <v>30.114999999999998</v>
      </c>
      <c r="D26">
        <v>0</v>
      </c>
      <c r="E26">
        <f t="shared" si="0"/>
        <v>0</v>
      </c>
      <c r="F26">
        <v>2203.4718499999999</v>
      </c>
      <c r="G26" t="s">
        <v>14</v>
      </c>
      <c r="H26" t="s">
        <v>11</v>
      </c>
      <c r="I26" t="s">
        <v>7</v>
      </c>
      <c r="J26">
        <f>_xlfn.XLOOKUP(C26,dim_BMI!$C$2:$C$7,dim_BMI!$A$2:$A$7,,1)</f>
        <v>4</v>
      </c>
      <c r="K26" t="str">
        <f>_xlfn.XLOOKUP(C26,dim_BMI!$C$2:$C$7,dim_BMI!$B$2:$B$7,,1)</f>
        <v>30.0 to 34.9 (Obesity Class 1)</v>
      </c>
    </row>
    <row r="27" spans="1:11" x14ac:dyDescent="0.25">
      <c r="A27" s="1">
        <v>483</v>
      </c>
      <c r="B27">
        <v>18</v>
      </c>
      <c r="C27">
        <v>31.35</v>
      </c>
      <c r="D27">
        <v>0</v>
      </c>
      <c r="E27">
        <f t="shared" si="0"/>
        <v>0</v>
      </c>
      <c r="F27">
        <v>1622.1885</v>
      </c>
      <c r="G27" t="s">
        <v>12</v>
      </c>
      <c r="H27" t="s">
        <v>11</v>
      </c>
      <c r="I27" t="s">
        <v>7</v>
      </c>
      <c r="J27">
        <f>_xlfn.XLOOKUP(C27,dim_BMI!$C$2:$C$7,dim_BMI!$A$2:$A$7,,1)</f>
        <v>4</v>
      </c>
      <c r="K27" t="str">
        <f>_xlfn.XLOOKUP(C27,dim_BMI!$C$2:$C$7,dim_BMI!$B$2:$B$7,,1)</f>
        <v>30.0 to 34.9 (Obesity Class 1)</v>
      </c>
    </row>
    <row r="28" spans="1:11" x14ac:dyDescent="0.25">
      <c r="A28" s="1">
        <v>493</v>
      </c>
      <c r="B28">
        <v>18</v>
      </c>
      <c r="C28">
        <v>25.08</v>
      </c>
      <c r="D28">
        <v>0</v>
      </c>
      <c r="E28">
        <f t="shared" si="0"/>
        <v>0</v>
      </c>
      <c r="F28">
        <v>2196.4731999999999</v>
      </c>
      <c r="G28" t="s">
        <v>14</v>
      </c>
      <c r="H28" t="s">
        <v>11</v>
      </c>
      <c r="I28" t="s">
        <v>7</v>
      </c>
      <c r="J28">
        <f>_xlfn.XLOOKUP(C28,dim_BMI!$C$2:$C$7,dim_BMI!$A$2:$A$7,,1)</f>
        <v>3</v>
      </c>
      <c r="K28" t="str">
        <f>_xlfn.XLOOKUP(C28,dim_BMI!$C$2:$C$7,dim_BMI!$B$2:$B$7,,1)</f>
        <v>25.0 to 29.9 (Overweight)</v>
      </c>
    </row>
    <row r="29" spans="1:11" x14ac:dyDescent="0.25">
      <c r="A29" s="1">
        <v>526</v>
      </c>
      <c r="B29">
        <v>18</v>
      </c>
      <c r="C29">
        <v>33.880000000000003</v>
      </c>
      <c r="D29">
        <v>0</v>
      </c>
      <c r="E29">
        <f t="shared" si="0"/>
        <v>0</v>
      </c>
      <c r="F29">
        <v>11482.63485</v>
      </c>
      <c r="G29" t="s">
        <v>12</v>
      </c>
      <c r="H29" t="s">
        <v>11</v>
      </c>
      <c r="I29" t="s">
        <v>7</v>
      </c>
      <c r="J29">
        <f>_xlfn.XLOOKUP(C29,dim_BMI!$C$2:$C$7,dim_BMI!$A$2:$A$7,,1)</f>
        <v>4</v>
      </c>
      <c r="K29" t="str">
        <f>_xlfn.XLOOKUP(C29,dim_BMI!$C$2:$C$7,dim_BMI!$B$2:$B$7,,1)</f>
        <v>30.0 to 34.9 (Obesity Class 1)</v>
      </c>
    </row>
    <row r="30" spans="1:11" x14ac:dyDescent="0.25">
      <c r="A30" s="1">
        <v>530</v>
      </c>
      <c r="B30">
        <v>18</v>
      </c>
      <c r="C30">
        <v>25.46</v>
      </c>
      <c r="D30">
        <v>0</v>
      </c>
      <c r="E30">
        <f t="shared" si="0"/>
        <v>0</v>
      </c>
      <c r="F30">
        <v>1708.0014000000001</v>
      </c>
      <c r="G30" t="s">
        <v>14</v>
      </c>
      <c r="H30" t="s">
        <v>11</v>
      </c>
      <c r="I30" t="s">
        <v>10</v>
      </c>
      <c r="J30">
        <f>_xlfn.XLOOKUP(C30,dim_BMI!$C$2:$C$7,dim_BMI!$A$2:$A$7,,1)</f>
        <v>3</v>
      </c>
      <c r="K30" t="str">
        <f>_xlfn.XLOOKUP(C30,dim_BMI!$C$2:$C$7,dim_BMI!$B$2:$B$7,,1)</f>
        <v>25.0 to 29.9 (Overweight)</v>
      </c>
    </row>
    <row r="31" spans="1:11" x14ac:dyDescent="0.25">
      <c r="A31" s="1">
        <v>565</v>
      </c>
      <c r="B31">
        <v>18</v>
      </c>
      <c r="C31">
        <v>32.119999999999997</v>
      </c>
      <c r="D31">
        <v>2</v>
      </c>
      <c r="E31">
        <f t="shared" si="0"/>
        <v>0</v>
      </c>
      <c r="F31">
        <v>2801.2588000000001</v>
      </c>
      <c r="G31" t="s">
        <v>12</v>
      </c>
      <c r="H31" t="s">
        <v>11</v>
      </c>
      <c r="I31" t="s">
        <v>7</v>
      </c>
      <c r="J31">
        <f>_xlfn.XLOOKUP(C31,dim_BMI!$C$2:$C$7,dim_BMI!$A$2:$A$7,,1)</f>
        <v>4</v>
      </c>
      <c r="K31" t="str">
        <f>_xlfn.XLOOKUP(C31,dim_BMI!$C$2:$C$7,dim_BMI!$B$2:$B$7,,1)</f>
        <v>30.0 to 34.9 (Obesity Class 1)</v>
      </c>
    </row>
    <row r="32" spans="1:11" x14ac:dyDescent="0.25">
      <c r="A32" s="1">
        <v>572</v>
      </c>
      <c r="B32">
        <v>18</v>
      </c>
      <c r="C32">
        <v>37.29</v>
      </c>
      <c r="D32">
        <v>1</v>
      </c>
      <c r="E32">
        <f t="shared" si="0"/>
        <v>0</v>
      </c>
      <c r="F32">
        <v>2219.4450999999999</v>
      </c>
      <c r="G32" t="s">
        <v>12</v>
      </c>
      <c r="H32" t="s">
        <v>11</v>
      </c>
      <c r="I32" t="s">
        <v>7</v>
      </c>
      <c r="J32">
        <f>_xlfn.XLOOKUP(C32,dim_BMI!$C$2:$C$7,dim_BMI!$A$2:$A$7,,1)</f>
        <v>5</v>
      </c>
      <c r="K32" t="str">
        <f>_xlfn.XLOOKUP(C32,dim_BMI!$C$2:$C$7,dim_BMI!$B$2:$B$7,,1)</f>
        <v>35 to 39.9 (Obesity Class 2)</v>
      </c>
    </row>
    <row r="33" spans="1:11" x14ac:dyDescent="0.25">
      <c r="A33" s="1">
        <v>601</v>
      </c>
      <c r="B33">
        <v>18</v>
      </c>
      <c r="C33">
        <v>39.159999999999997</v>
      </c>
      <c r="D33">
        <v>0</v>
      </c>
      <c r="E33">
        <f t="shared" si="0"/>
        <v>0</v>
      </c>
      <c r="F33">
        <v>1633.0444</v>
      </c>
      <c r="G33" t="s">
        <v>12</v>
      </c>
      <c r="H33" t="s">
        <v>11</v>
      </c>
      <c r="I33" t="s">
        <v>7</v>
      </c>
      <c r="J33">
        <f>_xlfn.XLOOKUP(C33,dim_BMI!$C$2:$C$7,dim_BMI!$A$2:$A$7,,1)</f>
        <v>5</v>
      </c>
      <c r="K33" t="str">
        <f>_xlfn.XLOOKUP(C33,dim_BMI!$C$2:$C$7,dim_BMI!$B$2:$B$7,,1)</f>
        <v>35 to 39.9 (Obesity Class 2)</v>
      </c>
    </row>
    <row r="34" spans="1:11" x14ac:dyDescent="0.25">
      <c r="A34" s="1">
        <v>613</v>
      </c>
      <c r="B34">
        <v>18</v>
      </c>
      <c r="C34">
        <v>33.155000000000001</v>
      </c>
      <c r="D34">
        <v>0</v>
      </c>
      <c r="E34">
        <f t="shared" si="0"/>
        <v>0</v>
      </c>
      <c r="F34">
        <v>2207.6974500000001</v>
      </c>
      <c r="G34" t="s">
        <v>14</v>
      </c>
      <c r="H34" t="s">
        <v>11</v>
      </c>
      <c r="I34" t="s">
        <v>7</v>
      </c>
      <c r="J34">
        <f>_xlfn.XLOOKUP(C34,dim_BMI!$C$2:$C$7,dim_BMI!$A$2:$A$7,,1)</f>
        <v>4</v>
      </c>
      <c r="K34" t="str">
        <f>_xlfn.XLOOKUP(C34,dim_BMI!$C$2:$C$7,dim_BMI!$B$2:$B$7,,1)</f>
        <v>30.0 to 34.9 (Obesity Class 1)</v>
      </c>
    </row>
    <row r="35" spans="1:11" x14ac:dyDescent="0.25">
      <c r="A35" s="1">
        <v>624</v>
      </c>
      <c r="B35">
        <v>18</v>
      </c>
      <c r="C35">
        <v>33.534999999999997</v>
      </c>
      <c r="D35">
        <v>0</v>
      </c>
      <c r="E35">
        <f t="shared" si="0"/>
        <v>1</v>
      </c>
      <c r="F35">
        <v>34617.840649999998</v>
      </c>
      <c r="G35" t="s">
        <v>14</v>
      </c>
      <c r="H35" t="s">
        <v>8</v>
      </c>
      <c r="I35" t="s">
        <v>10</v>
      </c>
      <c r="J35">
        <f>_xlfn.XLOOKUP(C35,dim_BMI!$C$2:$C$7,dim_BMI!$A$2:$A$7,,1)</f>
        <v>4</v>
      </c>
      <c r="K35" t="str">
        <f>_xlfn.XLOOKUP(C35,dim_BMI!$C$2:$C$7,dim_BMI!$B$2:$B$7,,1)</f>
        <v>30.0 to 34.9 (Obesity Class 1)</v>
      </c>
    </row>
    <row r="36" spans="1:11" x14ac:dyDescent="0.25">
      <c r="A36" s="1">
        <v>649</v>
      </c>
      <c r="B36">
        <v>18</v>
      </c>
      <c r="C36">
        <v>28.5</v>
      </c>
      <c r="D36">
        <v>0</v>
      </c>
      <c r="E36">
        <f t="shared" si="0"/>
        <v>0</v>
      </c>
      <c r="F36">
        <v>1712.2270000000001</v>
      </c>
      <c r="G36" t="s">
        <v>14</v>
      </c>
      <c r="H36" t="s">
        <v>11</v>
      </c>
      <c r="I36" t="s">
        <v>10</v>
      </c>
      <c r="J36">
        <f>_xlfn.XLOOKUP(C36,dim_BMI!$C$2:$C$7,dim_BMI!$A$2:$A$7,,1)</f>
        <v>3</v>
      </c>
      <c r="K36" t="str">
        <f>_xlfn.XLOOKUP(C36,dim_BMI!$C$2:$C$7,dim_BMI!$B$2:$B$7,,1)</f>
        <v>25.0 to 29.9 (Overweight)</v>
      </c>
    </row>
    <row r="37" spans="1:11" x14ac:dyDescent="0.25">
      <c r="A37" s="1">
        <v>664</v>
      </c>
      <c r="B37">
        <v>18</v>
      </c>
      <c r="C37">
        <v>33.659999999999997</v>
      </c>
      <c r="D37">
        <v>0</v>
      </c>
      <c r="E37">
        <f t="shared" si="0"/>
        <v>0</v>
      </c>
      <c r="F37">
        <v>1136.3994</v>
      </c>
      <c r="G37" t="s">
        <v>12</v>
      </c>
      <c r="H37" t="s">
        <v>11</v>
      </c>
      <c r="I37" t="s">
        <v>10</v>
      </c>
      <c r="J37">
        <f>_xlfn.XLOOKUP(C37,dim_BMI!$C$2:$C$7,dim_BMI!$A$2:$A$7,,1)</f>
        <v>4</v>
      </c>
      <c r="K37" t="str">
        <f>_xlfn.XLOOKUP(C37,dim_BMI!$C$2:$C$7,dim_BMI!$B$2:$B$7,,1)</f>
        <v>30.0 to 34.9 (Obesity Class 1)</v>
      </c>
    </row>
    <row r="38" spans="1:11" x14ac:dyDescent="0.25">
      <c r="A38" s="1">
        <v>711</v>
      </c>
      <c r="B38">
        <v>18</v>
      </c>
      <c r="C38">
        <v>35.200000000000003</v>
      </c>
      <c r="D38">
        <v>1</v>
      </c>
      <c r="E38">
        <f t="shared" si="0"/>
        <v>0</v>
      </c>
      <c r="F38">
        <v>1727.54</v>
      </c>
      <c r="G38" t="s">
        <v>12</v>
      </c>
      <c r="H38" t="s">
        <v>11</v>
      </c>
      <c r="I38" t="s">
        <v>10</v>
      </c>
      <c r="J38">
        <f>_xlfn.XLOOKUP(C38,dim_BMI!$C$2:$C$7,dim_BMI!$A$2:$A$7,,1)</f>
        <v>5</v>
      </c>
      <c r="K38" t="str">
        <f>_xlfn.XLOOKUP(C38,dim_BMI!$C$2:$C$7,dim_BMI!$B$2:$B$7,,1)</f>
        <v>35 to 39.9 (Obesity Class 2)</v>
      </c>
    </row>
    <row r="39" spans="1:11" x14ac:dyDescent="0.25">
      <c r="A39" s="1">
        <v>729</v>
      </c>
      <c r="B39">
        <v>18</v>
      </c>
      <c r="C39">
        <v>40.28</v>
      </c>
      <c r="D39">
        <v>0</v>
      </c>
      <c r="E39">
        <f t="shared" si="0"/>
        <v>0</v>
      </c>
      <c r="F39">
        <v>2217.6012000000001</v>
      </c>
      <c r="G39" t="s">
        <v>14</v>
      </c>
      <c r="H39" t="s">
        <v>11</v>
      </c>
      <c r="I39" t="s">
        <v>7</v>
      </c>
      <c r="J39">
        <f>_xlfn.XLOOKUP(C39,dim_BMI!$C$2:$C$7,dim_BMI!$A$2:$A$7,,1)</f>
        <v>6</v>
      </c>
      <c r="K39" t="str">
        <f>_xlfn.XLOOKUP(C39,dim_BMI!$C$2:$C$7,dim_BMI!$B$2:$B$7,,1)</f>
        <v>40 or higher (Severe Obesity Class 3)</v>
      </c>
    </row>
    <row r="40" spans="1:11" x14ac:dyDescent="0.25">
      <c r="A40" s="1">
        <v>760</v>
      </c>
      <c r="B40">
        <v>18</v>
      </c>
      <c r="C40">
        <v>38.17</v>
      </c>
      <c r="D40">
        <v>0</v>
      </c>
      <c r="E40">
        <f t="shared" si="0"/>
        <v>1</v>
      </c>
      <c r="F40">
        <v>36307.798300000002</v>
      </c>
      <c r="G40" t="s">
        <v>12</v>
      </c>
      <c r="H40" t="s">
        <v>8</v>
      </c>
      <c r="I40" t="s">
        <v>10</v>
      </c>
      <c r="J40">
        <f>_xlfn.XLOOKUP(C40,dim_BMI!$C$2:$C$7,dim_BMI!$A$2:$A$7,,1)</f>
        <v>5</v>
      </c>
      <c r="K40" t="str">
        <f>_xlfn.XLOOKUP(C40,dim_BMI!$C$2:$C$7,dim_BMI!$B$2:$B$7,,1)</f>
        <v>35 to 39.9 (Obesity Class 2)</v>
      </c>
    </row>
    <row r="41" spans="1:11" x14ac:dyDescent="0.25">
      <c r="A41" s="1">
        <v>782</v>
      </c>
      <c r="B41">
        <v>18</v>
      </c>
      <c r="C41">
        <v>41.14</v>
      </c>
      <c r="D41">
        <v>0</v>
      </c>
      <c r="E41">
        <f t="shared" si="0"/>
        <v>0</v>
      </c>
      <c r="F41">
        <v>1146.7965999999999</v>
      </c>
      <c r="G41" t="s">
        <v>12</v>
      </c>
      <c r="H41" t="s">
        <v>11</v>
      </c>
      <c r="I41" t="s">
        <v>10</v>
      </c>
      <c r="J41">
        <f>_xlfn.XLOOKUP(C41,dim_BMI!$C$2:$C$7,dim_BMI!$A$2:$A$7,,1)</f>
        <v>6</v>
      </c>
      <c r="K41" t="str">
        <f>_xlfn.XLOOKUP(C41,dim_BMI!$C$2:$C$7,dim_BMI!$B$2:$B$7,,1)</f>
        <v>40 or higher (Severe Obesity Class 3)</v>
      </c>
    </row>
    <row r="42" spans="1:11" x14ac:dyDescent="0.25">
      <c r="A42" s="1">
        <v>804</v>
      </c>
      <c r="B42">
        <v>18</v>
      </c>
      <c r="C42">
        <v>42.24</v>
      </c>
      <c r="D42">
        <v>0</v>
      </c>
      <c r="E42">
        <f t="shared" si="0"/>
        <v>1</v>
      </c>
      <c r="F42">
        <v>38792.685599999997</v>
      </c>
      <c r="G42" t="s">
        <v>12</v>
      </c>
      <c r="H42" t="s">
        <v>8</v>
      </c>
      <c r="I42" t="s">
        <v>7</v>
      </c>
      <c r="J42">
        <f>_xlfn.XLOOKUP(C42,dim_BMI!$C$2:$C$7,dim_BMI!$A$2:$A$7,,1)</f>
        <v>6</v>
      </c>
      <c r="K42" t="str">
        <f>_xlfn.XLOOKUP(C42,dim_BMI!$C$2:$C$7,dim_BMI!$B$2:$B$7,,1)</f>
        <v>40 or higher (Severe Obesity Class 3)</v>
      </c>
    </row>
    <row r="43" spans="1:11" x14ac:dyDescent="0.25">
      <c r="A43" s="1">
        <v>809</v>
      </c>
      <c r="B43">
        <v>18</v>
      </c>
      <c r="C43">
        <v>30.14</v>
      </c>
      <c r="D43">
        <v>0</v>
      </c>
      <c r="E43">
        <f t="shared" si="0"/>
        <v>0</v>
      </c>
      <c r="F43">
        <v>1131.5065999999999</v>
      </c>
      <c r="G43" t="s">
        <v>12</v>
      </c>
      <c r="H43" t="s">
        <v>11</v>
      </c>
      <c r="I43" t="s">
        <v>10</v>
      </c>
      <c r="J43">
        <f>_xlfn.XLOOKUP(C43,dim_BMI!$C$2:$C$7,dim_BMI!$A$2:$A$7,,1)</f>
        <v>4</v>
      </c>
      <c r="K43" t="str">
        <f>_xlfn.XLOOKUP(C43,dim_BMI!$C$2:$C$7,dim_BMI!$B$2:$B$7,,1)</f>
        <v>30.0 to 34.9 (Obesity Class 1)</v>
      </c>
    </row>
    <row r="44" spans="1:11" x14ac:dyDescent="0.25">
      <c r="A44" s="1">
        <v>823</v>
      </c>
      <c r="B44">
        <v>18</v>
      </c>
      <c r="C44">
        <v>31.13</v>
      </c>
      <c r="D44">
        <v>0</v>
      </c>
      <c r="E44">
        <f t="shared" si="0"/>
        <v>0</v>
      </c>
      <c r="F44">
        <v>1621.8827000000001</v>
      </c>
      <c r="G44" t="s">
        <v>12</v>
      </c>
      <c r="H44" t="s">
        <v>11</v>
      </c>
      <c r="I44" t="s">
        <v>7</v>
      </c>
      <c r="J44">
        <f>_xlfn.XLOOKUP(C44,dim_BMI!$C$2:$C$7,dim_BMI!$A$2:$A$7,,1)</f>
        <v>4</v>
      </c>
      <c r="K44" t="str">
        <f>_xlfn.XLOOKUP(C44,dim_BMI!$C$2:$C$7,dim_BMI!$B$2:$B$7,,1)</f>
        <v>30.0 to 34.9 (Obesity Class 1)</v>
      </c>
    </row>
    <row r="45" spans="1:11" x14ac:dyDescent="0.25">
      <c r="A45" s="1">
        <v>867</v>
      </c>
      <c r="B45">
        <v>18</v>
      </c>
      <c r="C45">
        <v>37.29</v>
      </c>
      <c r="D45">
        <v>0</v>
      </c>
      <c r="E45">
        <f t="shared" si="0"/>
        <v>0</v>
      </c>
      <c r="F45">
        <v>1141.4450999999999</v>
      </c>
      <c r="G45" t="s">
        <v>12</v>
      </c>
      <c r="H45" t="s">
        <v>11</v>
      </c>
      <c r="I45" t="s">
        <v>10</v>
      </c>
      <c r="J45">
        <f>_xlfn.XLOOKUP(C45,dim_BMI!$C$2:$C$7,dim_BMI!$A$2:$A$7,,1)</f>
        <v>5</v>
      </c>
      <c r="K45" t="str">
        <f>_xlfn.XLOOKUP(C45,dim_BMI!$C$2:$C$7,dim_BMI!$B$2:$B$7,,1)</f>
        <v>35 to 39.9 (Obesity Class 2)</v>
      </c>
    </row>
    <row r="46" spans="1:11" x14ac:dyDescent="0.25">
      <c r="A46" s="1">
        <v>899</v>
      </c>
      <c r="B46">
        <v>18</v>
      </c>
      <c r="C46">
        <v>40.26</v>
      </c>
      <c r="D46">
        <v>0</v>
      </c>
      <c r="E46">
        <f t="shared" si="0"/>
        <v>0</v>
      </c>
      <c r="F46">
        <v>1634.5734</v>
      </c>
      <c r="G46" t="s">
        <v>12</v>
      </c>
      <c r="H46" t="s">
        <v>11</v>
      </c>
      <c r="I46" t="s">
        <v>7</v>
      </c>
      <c r="J46">
        <f>_xlfn.XLOOKUP(C46,dim_BMI!$C$2:$C$7,dim_BMI!$A$2:$A$7,,1)</f>
        <v>6</v>
      </c>
      <c r="K46" t="str">
        <f>_xlfn.XLOOKUP(C46,dim_BMI!$C$2:$C$7,dim_BMI!$B$2:$B$7,,1)</f>
        <v>40 or higher (Severe Obesity Class 3)</v>
      </c>
    </row>
    <row r="47" spans="1:11" x14ac:dyDescent="0.25">
      <c r="A47" s="1">
        <v>912</v>
      </c>
      <c r="B47">
        <v>18</v>
      </c>
      <c r="C47">
        <v>31.73</v>
      </c>
      <c r="D47">
        <v>0</v>
      </c>
      <c r="E47">
        <f t="shared" si="0"/>
        <v>1</v>
      </c>
      <c r="F47">
        <v>33732.686699999998</v>
      </c>
      <c r="G47" t="s">
        <v>14</v>
      </c>
      <c r="H47" t="s">
        <v>8</v>
      </c>
      <c r="I47" t="s">
        <v>10</v>
      </c>
      <c r="J47">
        <f>_xlfn.XLOOKUP(C47,dim_BMI!$C$2:$C$7,dim_BMI!$A$2:$A$7,,1)</f>
        <v>4</v>
      </c>
      <c r="K47" t="str">
        <f>_xlfn.XLOOKUP(C47,dim_BMI!$C$2:$C$7,dim_BMI!$B$2:$B$7,,1)</f>
        <v>30.0 to 34.9 (Obesity Class 1)</v>
      </c>
    </row>
    <row r="48" spans="1:11" x14ac:dyDescent="0.25">
      <c r="A48" s="1">
        <v>939</v>
      </c>
      <c r="B48">
        <v>18</v>
      </c>
      <c r="C48">
        <v>26.18</v>
      </c>
      <c r="D48">
        <v>2</v>
      </c>
      <c r="E48">
        <f t="shared" si="0"/>
        <v>0</v>
      </c>
      <c r="F48">
        <v>2304.0021999999999</v>
      </c>
      <c r="G48" t="s">
        <v>12</v>
      </c>
      <c r="H48" t="s">
        <v>11</v>
      </c>
      <c r="I48" t="s">
        <v>10</v>
      </c>
      <c r="J48">
        <f>_xlfn.XLOOKUP(C48,dim_BMI!$C$2:$C$7,dim_BMI!$A$2:$A$7,,1)</f>
        <v>3</v>
      </c>
      <c r="K48" t="str">
        <f>_xlfn.XLOOKUP(C48,dim_BMI!$C$2:$C$7,dim_BMI!$B$2:$B$7,,1)</f>
        <v>25.0 to 29.9 (Overweight)</v>
      </c>
    </row>
    <row r="49" spans="1:11" x14ac:dyDescent="0.25">
      <c r="A49" s="1">
        <v>941</v>
      </c>
      <c r="B49">
        <v>18</v>
      </c>
      <c r="C49">
        <v>23.21</v>
      </c>
      <c r="D49">
        <v>0</v>
      </c>
      <c r="E49">
        <f t="shared" si="0"/>
        <v>0</v>
      </c>
      <c r="F49">
        <v>1121.8739</v>
      </c>
      <c r="G49" t="s">
        <v>12</v>
      </c>
      <c r="H49" t="s">
        <v>11</v>
      </c>
      <c r="I49" t="s">
        <v>10</v>
      </c>
      <c r="J49">
        <f>_xlfn.XLOOKUP(C49,dim_BMI!$C$2:$C$7,dim_BMI!$A$2:$A$7,,1)</f>
        <v>2</v>
      </c>
      <c r="K49" t="str">
        <f>_xlfn.XLOOKUP(C49,dim_BMI!$C$2:$C$7,dim_BMI!$B$2:$B$7,,1)</f>
        <v>18.5 to 24.9 (Healthy Weight)</v>
      </c>
    </row>
    <row r="50" spans="1:11" x14ac:dyDescent="0.25">
      <c r="A50" s="1">
        <v>943</v>
      </c>
      <c r="B50">
        <v>18</v>
      </c>
      <c r="C50">
        <v>40.185000000000002</v>
      </c>
      <c r="D50">
        <v>0</v>
      </c>
      <c r="E50">
        <f t="shared" si="0"/>
        <v>0</v>
      </c>
      <c r="F50">
        <v>2217.4691499999999</v>
      </c>
      <c r="G50" t="s">
        <v>14</v>
      </c>
      <c r="H50" t="s">
        <v>11</v>
      </c>
      <c r="I50" t="s">
        <v>7</v>
      </c>
      <c r="J50">
        <f>_xlfn.XLOOKUP(C50,dim_BMI!$C$2:$C$7,dim_BMI!$A$2:$A$7,,1)</f>
        <v>6</v>
      </c>
      <c r="K50" t="str">
        <f>_xlfn.XLOOKUP(C50,dim_BMI!$C$2:$C$7,dim_BMI!$B$2:$B$7,,1)</f>
        <v>40 or higher (Severe Obesity Class 3)</v>
      </c>
    </row>
    <row r="51" spans="1:11" x14ac:dyDescent="0.25">
      <c r="A51" s="1">
        <v>1024</v>
      </c>
      <c r="B51">
        <v>18</v>
      </c>
      <c r="C51">
        <v>23.32</v>
      </c>
      <c r="D51">
        <v>1</v>
      </c>
      <c r="E51">
        <f t="shared" si="0"/>
        <v>0</v>
      </c>
      <c r="F51">
        <v>1711.0268000000001</v>
      </c>
      <c r="G51" t="s">
        <v>12</v>
      </c>
      <c r="H51" t="s">
        <v>11</v>
      </c>
      <c r="I51" t="s">
        <v>10</v>
      </c>
      <c r="J51">
        <f>_xlfn.XLOOKUP(C51,dim_BMI!$C$2:$C$7,dim_BMI!$A$2:$A$7,,1)</f>
        <v>2</v>
      </c>
      <c r="K51" t="str">
        <f>_xlfn.XLOOKUP(C51,dim_BMI!$C$2:$C$7,dim_BMI!$B$2:$B$7,,1)</f>
        <v>18.5 to 24.9 (Healthy Weight)</v>
      </c>
    </row>
    <row r="52" spans="1:11" x14ac:dyDescent="0.25">
      <c r="A52" s="1">
        <v>1034</v>
      </c>
      <c r="B52">
        <v>18</v>
      </c>
      <c r="C52">
        <v>21.565000000000001</v>
      </c>
      <c r="D52">
        <v>0</v>
      </c>
      <c r="E52">
        <f t="shared" si="0"/>
        <v>1</v>
      </c>
      <c r="F52">
        <v>13747.87235</v>
      </c>
      <c r="G52" t="s">
        <v>14</v>
      </c>
      <c r="H52" t="s">
        <v>8</v>
      </c>
      <c r="I52" t="s">
        <v>10</v>
      </c>
      <c r="J52">
        <f>_xlfn.XLOOKUP(C52,dim_BMI!$C$2:$C$7,dim_BMI!$A$2:$A$7,,1)</f>
        <v>2</v>
      </c>
      <c r="K52" t="str">
        <f>_xlfn.XLOOKUP(C52,dim_BMI!$C$2:$C$7,dim_BMI!$B$2:$B$7,,1)</f>
        <v>18.5 to 24.9 (Healthy Weight)</v>
      </c>
    </row>
    <row r="53" spans="1:11" x14ac:dyDescent="0.25">
      <c r="A53" s="1">
        <v>1042</v>
      </c>
      <c r="B53">
        <v>18</v>
      </c>
      <c r="C53">
        <v>23.085000000000001</v>
      </c>
      <c r="D53">
        <v>0</v>
      </c>
      <c r="E53">
        <f t="shared" si="0"/>
        <v>0</v>
      </c>
      <c r="F53">
        <v>1704.7001499999999</v>
      </c>
      <c r="G53" t="s">
        <v>14</v>
      </c>
      <c r="H53" t="s">
        <v>11</v>
      </c>
      <c r="I53" t="s">
        <v>10</v>
      </c>
      <c r="J53">
        <f>_xlfn.XLOOKUP(C53,dim_BMI!$C$2:$C$7,dim_BMI!$A$2:$A$7,,1)</f>
        <v>2</v>
      </c>
      <c r="K53" t="str">
        <f>_xlfn.XLOOKUP(C53,dim_BMI!$C$2:$C$7,dim_BMI!$B$2:$B$7,,1)</f>
        <v>18.5 to 24.9 (Healthy Weight)</v>
      </c>
    </row>
    <row r="54" spans="1:11" x14ac:dyDescent="0.25">
      <c r="A54" s="1">
        <v>1081</v>
      </c>
      <c r="B54">
        <v>18</v>
      </c>
      <c r="C54">
        <v>21.78</v>
      </c>
      <c r="D54">
        <v>2</v>
      </c>
      <c r="E54">
        <f t="shared" si="0"/>
        <v>0</v>
      </c>
      <c r="F54">
        <v>11884.048580000001</v>
      </c>
      <c r="G54" t="s">
        <v>12</v>
      </c>
      <c r="H54" t="s">
        <v>11</v>
      </c>
      <c r="I54" t="s">
        <v>10</v>
      </c>
      <c r="J54">
        <f>_xlfn.XLOOKUP(C54,dim_BMI!$C$2:$C$7,dim_BMI!$A$2:$A$7,,1)</f>
        <v>2</v>
      </c>
      <c r="K54" t="str">
        <f>_xlfn.XLOOKUP(C54,dim_BMI!$C$2:$C$7,dim_BMI!$B$2:$B$7,,1)</f>
        <v>18.5 to 24.9 (Healthy Weight)</v>
      </c>
    </row>
    <row r="55" spans="1:11" x14ac:dyDescent="0.25">
      <c r="A55" s="1">
        <v>1096</v>
      </c>
      <c r="B55">
        <v>18</v>
      </c>
      <c r="C55">
        <v>31.35</v>
      </c>
      <c r="D55">
        <v>4</v>
      </c>
      <c r="E55">
        <f t="shared" si="0"/>
        <v>0</v>
      </c>
      <c r="F55">
        <v>4561.1885000000002</v>
      </c>
      <c r="G55" t="s">
        <v>14</v>
      </c>
      <c r="H55" t="s">
        <v>11</v>
      </c>
      <c r="I55" t="s">
        <v>7</v>
      </c>
      <c r="J55">
        <f>_xlfn.XLOOKUP(C55,dim_BMI!$C$2:$C$7,dim_BMI!$A$2:$A$7,,1)</f>
        <v>4</v>
      </c>
      <c r="K55" t="str">
        <f>_xlfn.XLOOKUP(C55,dim_BMI!$C$2:$C$7,dim_BMI!$B$2:$B$7,,1)</f>
        <v>30.0 to 34.9 (Obesity Class 1)</v>
      </c>
    </row>
    <row r="56" spans="1:11" x14ac:dyDescent="0.25">
      <c r="A56" s="1">
        <v>1151</v>
      </c>
      <c r="B56">
        <v>18</v>
      </c>
      <c r="C56">
        <v>30.305</v>
      </c>
      <c r="D56">
        <v>0</v>
      </c>
      <c r="E56">
        <f t="shared" si="0"/>
        <v>0</v>
      </c>
      <c r="F56">
        <v>2203.7359499999998</v>
      </c>
      <c r="G56" t="s">
        <v>14</v>
      </c>
      <c r="H56" t="s">
        <v>11</v>
      </c>
      <c r="I56" t="s">
        <v>7</v>
      </c>
      <c r="J56">
        <f>_xlfn.XLOOKUP(C56,dim_BMI!$C$2:$C$7,dim_BMI!$A$2:$A$7,,1)</f>
        <v>4</v>
      </c>
      <c r="K56" t="str">
        <f>_xlfn.XLOOKUP(C56,dim_BMI!$C$2:$C$7,dim_BMI!$B$2:$B$7,,1)</f>
        <v>30.0 to 34.9 (Obesity Class 1)</v>
      </c>
    </row>
    <row r="57" spans="1:11" x14ac:dyDescent="0.25">
      <c r="A57" s="1">
        <v>1164</v>
      </c>
      <c r="B57">
        <v>18</v>
      </c>
      <c r="C57">
        <v>28.215</v>
      </c>
      <c r="D57">
        <v>0</v>
      </c>
      <c r="E57">
        <f t="shared" si="0"/>
        <v>0</v>
      </c>
      <c r="F57">
        <v>2200.8308499999998</v>
      </c>
      <c r="G57" t="s">
        <v>14</v>
      </c>
      <c r="H57" t="s">
        <v>11</v>
      </c>
      <c r="I57" t="s">
        <v>7</v>
      </c>
      <c r="J57">
        <f>_xlfn.XLOOKUP(C57,dim_BMI!$C$2:$C$7,dim_BMI!$A$2:$A$7,,1)</f>
        <v>3</v>
      </c>
      <c r="K57" t="str">
        <f>_xlfn.XLOOKUP(C57,dim_BMI!$C$2:$C$7,dim_BMI!$B$2:$B$7,,1)</f>
        <v>25.0 to 29.9 (Overweight)</v>
      </c>
    </row>
    <row r="58" spans="1:11" x14ac:dyDescent="0.25">
      <c r="A58" s="1">
        <v>1171</v>
      </c>
      <c r="B58">
        <v>18</v>
      </c>
      <c r="C58">
        <v>27.36</v>
      </c>
      <c r="D58">
        <v>1</v>
      </c>
      <c r="E58">
        <f t="shared" si="0"/>
        <v>1</v>
      </c>
      <c r="F58">
        <v>17178.682400000002</v>
      </c>
      <c r="G58" t="s">
        <v>14</v>
      </c>
      <c r="H58" t="s">
        <v>8</v>
      </c>
      <c r="I58" t="s">
        <v>10</v>
      </c>
      <c r="J58">
        <f>_xlfn.XLOOKUP(C58,dim_BMI!$C$2:$C$7,dim_BMI!$A$2:$A$7,,1)</f>
        <v>3</v>
      </c>
      <c r="K58" t="str">
        <f>_xlfn.XLOOKUP(C58,dim_BMI!$C$2:$C$7,dim_BMI!$B$2:$B$7,,1)</f>
        <v>25.0 to 29.9 (Overweight)</v>
      </c>
    </row>
    <row r="59" spans="1:11" x14ac:dyDescent="0.25">
      <c r="A59" s="1">
        <v>1205</v>
      </c>
      <c r="B59">
        <v>18</v>
      </c>
      <c r="C59">
        <v>27.28</v>
      </c>
      <c r="D59">
        <v>3</v>
      </c>
      <c r="E59">
        <f t="shared" si="0"/>
        <v>1</v>
      </c>
      <c r="F59">
        <v>18223.4512</v>
      </c>
      <c r="G59" t="s">
        <v>12</v>
      </c>
      <c r="H59" t="s">
        <v>8</v>
      </c>
      <c r="I59" t="s">
        <v>7</v>
      </c>
      <c r="J59">
        <f>_xlfn.XLOOKUP(C59,dim_BMI!$C$2:$C$7,dim_BMI!$A$2:$A$7,,1)</f>
        <v>3</v>
      </c>
      <c r="K59" t="str">
        <f>_xlfn.XLOOKUP(C59,dim_BMI!$C$2:$C$7,dim_BMI!$B$2:$B$7,,1)</f>
        <v>25.0 to 29.9 (Overweight)</v>
      </c>
    </row>
    <row r="60" spans="1:11" x14ac:dyDescent="0.25">
      <c r="A60" s="1">
        <v>1213</v>
      </c>
      <c r="B60">
        <v>18</v>
      </c>
      <c r="C60">
        <v>21.47</v>
      </c>
      <c r="D60">
        <v>0</v>
      </c>
      <c r="E60">
        <f t="shared" si="0"/>
        <v>0</v>
      </c>
      <c r="F60">
        <v>1702.4553000000001</v>
      </c>
      <c r="G60" t="s">
        <v>14</v>
      </c>
      <c r="H60" t="s">
        <v>11</v>
      </c>
      <c r="I60" t="s">
        <v>10</v>
      </c>
      <c r="J60">
        <f>_xlfn.XLOOKUP(C60,dim_BMI!$C$2:$C$7,dim_BMI!$A$2:$A$7,,1)</f>
        <v>2</v>
      </c>
      <c r="K60" t="str">
        <f>_xlfn.XLOOKUP(C60,dim_BMI!$C$2:$C$7,dim_BMI!$B$2:$B$7,,1)</f>
        <v>18.5 to 24.9 (Healthy Weight)</v>
      </c>
    </row>
    <row r="61" spans="1:11" x14ac:dyDescent="0.25">
      <c r="A61" s="1">
        <v>1216</v>
      </c>
      <c r="B61">
        <v>18</v>
      </c>
      <c r="C61">
        <v>39.14</v>
      </c>
      <c r="D61">
        <v>0</v>
      </c>
      <c r="E61">
        <f t="shared" si="0"/>
        <v>0</v>
      </c>
      <c r="F61">
        <v>12890.057650000001</v>
      </c>
      <c r="G61" t="s">
        <v>14</v>
      </c>
      <c r="H61" t="s">
        <v>11</v>
      </c>
      <c r="I61" t="s">
        <v>10</v>
      </c>
      <c r="J61">
        <f>_xlfn.XLOOKUP(C61,dim_BMI!$C$2:$C$7,dim_BMI!$A$2:$A$7,,1)</f>
        <v>5</v>
      </c>
      <c r="K61" t="str">
        <f>_xlfn.XLOOKUP(C61,dim_BMI!$C$2:$C$7,dim_BMI!$B$2:$B$7,,1)</f>
        <v>35 to 39.9 (Obesity Class 2)</v>
      </c>
    </row>
    <row r="62" spans="1:11" x14ac:dyDescent="0.25">
      <c r="A62" s="1">
        <v>1245</v>
      </c>
      <c r="B62">
        <v>18</v>
      </c>
      <c r="C62">
        <v>33.33</v>
      </c>
      <c r="D62">
        <v>0</v>
      </c>
      <c r="E62">
        <f t="shared" si="0"/>
        <v>0</v>
      </c>
      <c r="F62">
        <v>1135.9407000000001</v>
      </c>
      <c r="G62" t="s">
        <v>12</v>
      </c>
      <c r="H62" t="s">
        <v>11</v>
      </c>
      <c r="I62" t="s">
        <v>10</v>
      </c>
      <c r="J62">
        <f>_xlfn.XLOOKUP(C62,dim_BMI!$C$2:$C$7,dim_BMI!$A$2:$A$7,,1)</f>
        <v>4</v>
      </c>
      <c r="K62" t="str">
        <f>_xlfn.XLOOKUP(C62,dim_BMI!$C$2:$C$7,dim_BMI!$B$2:$B$7,,1)</f>
        <v>30.0 to 34.9 (Obesity Class 1)</v>
      </c>
    </row>
    <row r="63" spans="1:11" x14ac:dyDescent="0.25">
      <c r="A63" s="1">
        <v>1249</v>
      </c>
      <c r="B63">
        <v>18</v>
      </c>
      <c r="C63">
        <v>39.82</v>
      </c>
      <c r="D63">
        <v>0</v>
      </c>
      <c r="E63">
        <f t="shared" si="0"/>
        <v>0</v>
      </c>
      <c r="F63">
        <v>1633.9618</v>
      </c>
      <c r="G63" t="s">
        <v>12</v>
      </c>
      <c r="H63" t="s">
        <v>11</v>
      </c>
      <c r="I63" t="s">
        <v>7</v>
      </c>
      <c r="J63">
        <f>_xlfn.XLOOKUP(C63,dim_BMI!$C$2:$C$7,dim_BMI!$A$2:$A$7,,1)</f>
        <v>5</v>
      </c>
      <c r="K63" t="str">
        <f>_xlfn.XLOOKUP(C63,dim_BMI!$C$2:$C$7,dim_BMI!$B$2:$B$7,,1)</f>
        <v>35 to 39.9 (Obesity Class 2)</v>
      </c>
    </row>
    <row r="64" spans="1:11" x14ac:dyDescent="0.25">
      <c r="A64" s="1">
        <v>1283</v>
      </c>
      <c r="B64">
        <v>18</v>
      </c>
      <c r="C64">
        <v>21.66</v>
      </c>
      <c r="D64">
        <v>0</v>
      </c>
      <c r="E64">
        <f t="shared" si="0"/>
        <v>1</v>
      </c>
      <c r="F64">
        <v>14283.4594</v>
      </c>
      <c r="G64" t="s">
        <v>14</v>
      </c>
      <c r="H64" t="s">
        <v>8</v>
      </c>
      <c r="I64" t="s">
        <v>7</v>
      </c>
      <c r="J64">
        <f>_xlfn.XLOOKUP(C64,dim_BMI!$C$2:$C$7,dim_BMI!$A$2:$A$7,,1)</f>
        <v>2</v>
      </c>
      <c r="K64" t="str">
        <f>_xlfn.XLOOKUP(C64,dim_BMI!$C$2:$C$7,dim_BMI!$B$2:$B$7,,1)</f>
        <v>18.5 to 24.9 (Healthy Weight)</v>
      </c>
    </row>
    <row r="65" spans="1:11" x14ac:dyDescent="0.25">
      <c r="A65" s="1">
        <v>1284</v>
      </c>
      <c r="B65">
        <v>18</v>
      </c>
      <c r="C65">
        <v>30.03</v>
      </c>
      <c r="D65">
        <v>1</v>
      </c>
      <c r="E65">
        <f t="shared" si="0"/>
        <v>0</v>
      </c>
      <c r="F65">
        <v>1720.3536999999999</v>
      </c>
      <c r="G65" t="s">
        <v>12</v>
      </c>
      <c r="H65" t="s">
        <v>11</v>
      </c>
      <c r="I65" t="s">
        <v>10</v>
      </c>
      <c r="J65">
        <f>_xlfn.XLOOKUP(C65,dim_BMI!$C$2:$C$7,dim_BMI!$A$2:$A$7,,1)</f>
        <v>4</v>
      </c>
      <c r="K65" t="str">
        <f>_xlfn.XLOOKUP(C65,dim_BMI!$C$2:$C$7,dim_BMI!$B$2:$B$7,,1)</f>
        <v>30.0 to 34.9 (Obesity Class 1)</v>
      </c>
    </row>
    <row r="66" spans="1:11" x14ac:dyDescent="0.25">
      <c r="A66" s="1">
        <v>1297</v>
      </c>
      <c r="B66">
        <v>18</v>
      </c>
      <c r="C66">
        <v>26.125</v>
      </c>
      <c r="D66">
        <v>0</v>
      </c>
      <c r="E66">
        <f t="shared" si="0"/>
        <v>0</v>
      </c>
      <c r="F66">
        <v>1708.9257500000001</v>
      </c>
      <c r="G66" t="s">
        <v>14</v>
      </c>
      <c r="H66" t="s">
        <v>11</v>
      </c>
      <c r="I66" t="s">
        <v>10</v>
      </c>
      <c r="J66">
        <f>_xlfn.XLOOKUP(C66,dim_BMI!$C$2:$C$7,dim_BMI!$A$2:$A$7,,1)</f>
        <v>3</v>
      </c>
      <c r="K66" t="str">
        <f>_xlfn.XLOOKUP(C66,dim_BMI!$C$2:$C$7,dim_BMI!$B$2:$B$7,,1)</f>
        <v>25.0 to 29.9 (Overweight)</v>
      </c>
    </row>
    <row r="67" spans="1:11" x14ac:dyDescent="0.25">
      <c r="A67" s="1">
        <v>1316</v>
      </c>
      <c r="B67">
        <v>18</v>
      </c>
      <c r="C67">
        <v>28.31</v>
      </c>
      <c r="D67">
        <v>1</v>
      </c>
      <c r="E67">
        <f t="shared" ref="E67:E130" si="1">IF(H67="yes",1,0)</f>
        <v>0</v>
      </c>
      <c r="F67">
        <v>11272.331389999999</v>
      </c>
      <c r="G67" t="s">
        <v>14</v>
      </c>
      <c r="H67" t="s">
        <v>11</v>
      </c>
      <c r="I67" t="s">
        <v>10</v>
      </c>
      <c r="J67">
        <f>_xlfn.XLOOKUP(C67,dim_BMI!$C$2:$C$7,dim_BMI!$A$2:$A$7,,1)</f>
        <v>3</v>
      </c>
      <c r="K67" t="str">
        <f>_xlfn.XLOOKUP(C67,dim_BMI!$C$2:$C$7,dim_BMI!$B$2:$B$7,,1)</f>
        <v>25.0 to 29.9 (Overweight)</v>
      </c>
    </row>
    <row r="68" spans="1:11" x14ac:dyDescent="0.25">
      <c r="A68" s="1">
        <v>1318</v>
      </c>
      <c r="B68">
        <v>18</v>
      </c>
      <c r="C68">
        <v>53.13</v>
      </c>
      <c r="D68">
        <v>0</v>
      </c>
      <c r="E68">
        <f t="shared" si="1"/>
        <v>0</v>
      </c>
      <c r="F68">
        <v>1163.4627</v>
      </c>
      <c r="G68" t="s">
        <v>12</v>
      </c>
      <c r="H68" t="s">
        <v>11</v>
      </c>
      <c r="I68" t="s">
        <v>10</v>
      </c>
      <c r="J68">
        <f>_xlfn.XLOOKUP(C68,dim_BMI!$C$2:$C$7,dim_BMI!$A$2:$A$7,,1)</f>
        <v>6</v>
      </c>
      <c r="K68" t="str">
        <f>_xlfn.XLOOKUP(C68,dim_BMI!$C$2:$C$7,dim_BMI!$B$2:$B$7,,1)</f>
        <v>40 or higher (Severe Obesity Class 3)</v>
      </c>
    </row>
    <row r="69" spans="1:11" x14ac:dyDescent="0.25">
      <c r="A69" s="1">
        <v>1335</v>
      </c>
      <c r="B69">
        <v>18</v>
      </c>
      <c r="C69">
        <v>31.92</v>
      </c>
      <c r="D69">
        <v>0</v>
      </c>
      <c r="E69">
        <f t="shared" si="1"/>
        <v>0</v>
      </c>
      <c r="F69">
        <v>2205.9807999999998</v>
      </c>
      <c r="G69" t="s">
        <v>14</v>
      </c>
      <c r="H69" t="s">
        <v>11</v>
      </c>
      <c r="I69" t="s">
        <v>7</v>
      </c>
      <c r="J69">
        <f>_xlfn.XLOOKUP(C69,dim_BMI!$C$2:$C$7,dim_BMI!$A$2:$A$7,,1)</f>
        <v>4</v>
      </c>
      <c r="K69" t="str">
        <f>_xlfn.XLOOKUP(C69,dim_BMI!$C$2:$C$7,dim_BMI!$B$2:$B$7,,1)</f>
        <v>30.0 to 34.9 (Obesity Class 1)</v>
      </c>
    </row>
    <row r="70" spans="1:11" x14ac:dyDescent="0.25">
      <c r="A70" s="1">
        <v>1336</v>
      </c>
      <c r="B70">
        <v>18</v>
      </c>
      <c r="C70">
        <v>36.85</v>
      </c>
      <c r="D70">
        <v>0</v>
      </c>
      <c r="E70">
        <f t="shared" si="1"/>
        <v>0</v>
      </c>
      <c r="F70">
        <v>1629.8335</v>
      </c>
      <c r="G70" t="s">
        <v>12</v>
      </c>
      <c r="H70" t="s">
        <v>11</v>
      </c>
      <c r="I70" t="s">
        <v>7</v>
      </c>
      <c r="J70">
        <f>_xlfn.XLOOKUP(C70,dim_BMI!$C$2:$C$7,dim_BMI!$A$2:$A$7,,1)</f>
        <v>5</v>
      </c>
      <c r="K70" t="str">
        <f>_xlfn.XLOOKUP(C70,dim_BMI!$C$2:$C$7,dim_BMI!$B$2:$B$7,,1)</f>
        <v>35 to 39.9 (Obesity Class 2)</v>
      </c>
    </row>
    <row r="71" spans="1:11" x14ac:dyDescent="0.25">
      <c r="A71" s="1">
        <v>1</v>
      </c>
      <c r="B71">
        <v>19</v>
      </c>
      <c r="C71">
        <v>27.9</v>
      </c>
      <c r="D71">
        <v>0</v>
      </c>
      <c r="E71">
        <f t="shared" si="1"/>
        <v>1</v>
      </c>
      <c r="F71">
        <v>16884.923999999999</v>
      </c>
      <c r="G71" t="s">
        <v>9</v>
      </c>
      <c r="H71" t="s">
        <v>8</v>
      </c>
      <c r="I71" t="s">
        <v>7</v>
      </c>
      <c r="J71">
        <f>_xlfn.XLOOKUP(C71,dim_BMI!$C$2:$C$7,dim_BMI!$A$2:$A$7,,1)</f>
        <v>3</v>
      </c>
      <c r="K71" t="str">
        <f>_xlfn.XLOOKUP(C71,dim_BMI!$C$2:$C$7,dim_BMI!$B$2:$B$7,,1)</f>
        <v>25.0 to 29.9 (Overweight)</v>
      </c>
    </row>
    <row r="72" spans="1:11" x14ac:dyDescent="0.25">
      <c r="A72" s="1">
        <v>16</v>
      </c>
      <c r="B72">
        <v>19</v>
      </c>
      <c r="C72">
        <v>24.6</v>
      </c>
      <c r="D72">
        <v>1</v>
      </c>
      <c r="E72">
        <f t="shared" si="1"/>
        <v>0</v>
      </c>
      <c r="F72">
        <v>1837.2370000000001</v>
      </c>
      <c r="G72" t="s">
        <v>9</v>
      </c>
      <c r="H72" t="s">
        <v>11</v>
      </c>
      <c r="I72" t="s">
        <v>10</v>
      </c>
      <c r="J72">
        <f>_xlfn.XLOOKUP(C72,dim_BMI!$C$2:$C$7,dim_BMI!$A$2:$A$7,,1)</f>
        <v>2</v>
      </c>
      <c r="K72" t="str">
        <f>_xlfn.XLOOKUP(C72,dim_BMI!$C$2:$C$7,dim_BMI!$B$2:$B$7,,1)</f>
        <v>18.5 to 24.9 (Healthy Weight)</v>
      </c>
    </row>
    <row r="73" spans="1:11" x14ac:dyDescent="0.25">
      <c r="A73" s="1">
        <v>33</v>
      </c>
      <c r="B73">
        <v>19</v>
      </c>
      <c r="C73">
        <v>28.6</v>
      </c>
      <c r="D73">
        <v>5</v>
      </c>
      <c r="E73">
        <f t="shared" si="1"/>
        <v>0</v>
      </c>
      <c r="F73">
        <v>4687.7969999999996</v>
      </c>
      <c r="G73" t="s">
        <v>9</v>
      </c>
      <c r="H73" t="s">
        <v>11</v>
      </c>
      <c r="I73" t="s">
        <v>7</v>
      </c>
      <c r="J73">
        <f>_xlfn.XLOOKUP(C73,dim_BMI!$C$2:$C$7,dim_BMI!$A$2:$A$7,,1)</f>
        <v>3</v>
      </c>
      <c r="K73" t="str">
        <f>_xlfn.XLOOKUP(C73,dim_BMI!$C$2:$C$7,dim_BMI!$B$2:$B$7,,1)</f>
        <v>25.0 to 29.9 (Overweight)</v>
      </c>
    </row>
    <row r="74" spans="1:11" x14ac:dyDescent="0.25">
      <c r="A74" s="1">
        <v>36</v>
      </c>
      <c r="B74">
        <v>19</v>
      </c>
      <c r="C74">
        <v>20.425000000000001</v>
      </c>
      <c r="D74">
        <v>0</v>
      </c>
      <c r="E74">
        <f t="shared" si="1"/>
        <v>0</v>
      </c>
      <c r="F74">
        <v>1625.4337499999999</v>
      </c>
      <c r="G74" t="s">
        <v>13</v>
      </c>
      <c r="H74" t="s">
        <v>11</v>
      </c>
      <c r="I74" t="s">
        <v>10</v>
      </c>
      <c r="J74">
        <f>_xlfn.XLOOKUP(C74,dim_BMI!$C$2:$C$7,dim_BMI!$A$2:$A$7,,1)</f>
        <v>2</v>
      </c>
      <c r="K74" t="str">
        <f>_xlfn.XLOOKUP(C74,dim_BMI!$C$2:$C$7,dim_BMI!$B$2:$B$7,,1)</f>
        <v>18.5 to 24.9 (Healthy Weight)</v>
      </c>
    </row>
    <row r="75" spans="1:11" x14ac:dyDescent="0.25">
      <c r="A75" s="1">
        <v>66</v>
      </c>
      <c r="B75">
        <v>19</v>
      </c>
      <c r="C75">
        <v>28.9</v>
      </c>
      <c r="D75">
        <v>0</v>
      </c>
      <c r="E75">
        <f t="shared" si="1"/>
        <v>0</v>
      </c>
      <c r="F75">
        <v>1743.2139999999999</v>
      </c>
      <c r="G75" t="s">
        <v>9</v>
      </c>
      <c r="H75" t="s">
        <v>11</v>
      </c>
      <c r="I75" t="s">
        <v>7</v>
      </c>
      <c r="J75">
        <f>_xlfn.XLOOKUP(C75,dim_BMI!$C$2:$C$7,dim_BMI!$A$2:$A$7,,1)</f>
        <v>3</v>
      </c>
      <c r="K75" t="str">
        <f>_xlfn.XLOOKUP(C75,dim_BMI!$C$2:$C$7,dim_BMI!$B$2:$B$7,,1)</f>
        <v>25.0 to 29.9 (Overweight)</v>
      </c>
    </row>
    <row r="76" spans="1:11" x14ac:dyDescent="0.25">
      <c r="A76" s="1">
        <v>107</v>
      </c>
      <c r="B76">
        <v>19</v>
      </c>
      <c r="C76">
        <v>28.4</v>
      </c>
      <c r="D76">
        <v>1</v>
      </c>
      <c r="E76">
        <f t="shared" si="1"/>
        <v>0</v>
      </c>
      <c r="F76">
        <v>2331.5189999999998</v>
      </c>
      <c r="G76" t="s">
        <v>9</v>
      </c>
      <c r="H76" t="s">
        <v>11</v>
      </c>
      <c r="I76" t="s">
        <v>7</v>
      </c>
      <c r="J76">
        <f>_xlfn.XLOOKUP(C76,dim_BMI!$C$2:$C$7,dim_BMI!$A$2:$A$7,,1)</f>
        <v>3</v>
      </c>
      <c r="K76" t="str">
        <f>_xlfn.XLOOKUP(C76,dim_BMI!$C$2:$C$7,dim_BMI!$B$2:$B$7,,1)</f>
        <v>25.0 to 29.9 (Overweight)</v>
      </c>
    </row>
    <row r="77" spans="1:11" x14ac:dyDescent="0.25">
      <c r="A77" s="1">
        <v>127</v>
      </c>
      <c r="B77">
        <v>19</v>
      </c>
      <c r="C77">
        <v>28.3</v>
      </c>
      <c r="D77">
        <v>0</v>
      </c>
      <c r="E77">
        <f t="shared" si="1"/>
        <v>1</v>
      </c>
      <c r="F77">
        <v>17081.080000000002</v>
      </c>
      <c r="G77" t="s">
        <v>9</v>
      </c>
      <c r="H77" t="s">
        <v>8</v>
      </c>
      <c r="I77" t="s">
        <v>7</v>
      </c>
      <c r="J77">
        <f>_xlfn.XLOOKUP(C77,dim_BMI!$C$2:$C$7,dim_BMI!$A$2:$A$7,,1)</f>
        <v>3</v>
      </c>
      <c r="K77" t="str">
        <f>_xlfn.XLOOKUP(C77,dim_BMI!$C$2:$C$7,dim_BMI!$B$2:$B$7,,1)</f>
        <v>25.0 to 29.9 (Overweight)</v>
      </c>
    </row>
    <row r="78" spans="1:11" x14ac:dyDescent="0.25">
      <c r="A78" s="1">
        <v>134</v>
      </c>
      <c r="B78">
        <v>19</v>
      </c>
      <c r="C78">
        <v>25.555</v>
      </c>
      <c r="D78">
        <v>0</v>
      </c>
      <c r="E78">
        <f t="shared" si="1"/>
        <v>0</v>
      </c>
      <c r="F78">
        <v>1632.5644500000001</v>
      </c>
      <c r="G78" t="s">
        <v>13</v>
      </c>
      <c r="H78" t="s">
        <v>11</v>
      </c>
      <c r="I78" t="s">
        <v>10</v>
      </c>
      <c r="J78">
        <f>_xlfn.XLOOKUP(C78,dim_BMI!$C$2:$C$7,dim_BMI!$A$2:$A$7,,1)</f>
        <v>3</v>
      </c>
      <c r="K78" t="str">
        <f>_xlfn.XLOOKUP(C78,dim_BMI!$C$2:$C$7,dim_BMI!$B$2:$B$7,,1)</f>
        <v>25.0 to 29.9 (Overweight)</v>
      </c>
    </row>
    <row r="79" spans="1:11" x14ac:dyDescent="0.25">
      <c r="A79" s="1">
        <v>137</v>
      </c>
      <c r="B79">
        <v>19</v>
      </c>
      <c r="C79">
        <v>34.1</v>
      </c>
      <c r="D79">
        <v>0</v>
      </c>
      <c r="E79">
        <f t="shared" si="1"/>
        <v>0</v>
      </c>
      <c r="F79">
        <v>1261.442</v>
      </c>
      <c r="G79" t="s">
        <v>9</v>
      </c>
      <c r="H79" t="s">
        <v>11</v>
      </c>
      <c r="I79" t="s">
        <v>10</v>
      </c>
      <c r="J79">
        <f>_xlfn.XLOOKUP(C79,dim_BMI!$C$2:$C$7,dim_BMI!$A$2:$A$7,,1)</f>
        <v>4</v>
      </c>
      <c r="K79" t="str">
        <f>_xlfn.XLOOKUP(C79,dim_BMI!$C$2:$C$7,dim_BMI!$B$2:$B$7,,1)</f>
        <v>30.0 to 34.9 (Obesity Class 1)</v>
      </c>
    </row>
    <row r="80" spans="1:11" x14ac:dyDescent="0.25">
      <c r="A80" s="1">
        <v>150</v>
      </c>
      <c r="B80">
        <v>19</v>
      </c>
      <c r="C80">
        <v>28.4</v>
      </c>
      <c r="D80">
        <v>1</v>
      </c>
      <c r="E80">
        <f t="shared" si="1"/>
        <v>0</v>
      </c>
      <c r="F80">
        <v>1842.519</v>
      </c>
      <c r="G80" t="s">
        <v>9</v>
      </c>
      <c r="H80" t="s">
        <v>11</v>
      </c>
      <c r="I80" t="s">
        <v>10</v>
      </c>
      <c r="J80">
        <f>_xlfn.XLOOKUP(C80,dim_BMI!$C$2:$C$7,dim_BMI!$A$2:$A$7,,1)</f>
        <v>3</v>
      </c>
      <c r="K80" t="str">
        <f>_xlfn.XLOOKUP(C80,dim_BMI!$C$2:$C$7,dim_BMI!$B$2:$B$7,,1)</f>
        <v>25.0 to 29.9 (Overweight)</v>
      </c>
    </row>
    <row r="81" spans="1:11" x14ac:dyDescent="0.25">
      <c r="A81" s="1">
        <v>169</v>
      </c>
      <c r="B81">
        <v>19</v>
      </c>
      <c r="C81">
        <v>31.824999999999999</v>
      </c>
      <c r="D81">
        <v>1</v>
      </c>
      <c r="E81">
        <f t="shared" si="1"/>
        <v>0</v>
      </c>
      <c r="F81">
        <v>2719.2797500000001</v>
      </c>
      <c r="G81" t="s">
        <v>13</v>
      </c>
      <c r="H81" t="s">
        <v>11</v>
      </c>
      <c r="I81" t="s">
        <v>7</v>
      </c>
      <c r="J81">
        <f>_xlfn.XLOOKUP(C81,dim_BMI!$C$2:$C$7,dim_BMI!$A$2:$A$7,,1)</f>
        <v>4</v>
      </c>
      <c r="K81" t="str">
        <f>_xlfn.XLOOKUP(C81,dim_BMI!$C$2:$C$7,dim_BMI!$B$2:$B$7,,1)</f>
        <v>30.0 to 34.9 (Obesity Class 1)</v>
      </c>
    </row>
    <row r="82" spans="1:11" x14ac:dyDescent="0.25">
      <c r="A82" s="1">
        <v>196</v>
      </c>
      <c r="B82">
        <v>19</v>
      </c>
      <c r="C82">
        <v>30.59</v>
      </c>
      <c r="D82">
        <v>0</v>
      </c>
      <c r="E82">
        <f t="shared" si="1"/>
        <v>0</v>
      </c>
      <c r="F82">
        <v>1639.5631000000001</v>
      </c>
      <c r="G82" t="s">
        <v>13</v>
      </c>
      <c r="H82" t="s">
        <v>11</v>
      </c>
      <c r="I82" t="s">
        <v>10</v>
      </c>
      <c r="J82">
        <f>_xlfn.XLOOKUP(C82,dim_BMI!$C$2:$C$7,dim_BMI!$A$2:$A$7,,1)</f>
        <v>4</v>
      </c>
      <c r="K82" t="str">
        <f>_xlfn.XLOOKUP(C82,dim_BMI!$C$2:$C$7,dim_BMI!$B$2:$B$7,,1)</f>
        <v>30.0 to 34.9 (Obesity Class 1)</v>
      </c>
    </row>
    <row r="83" spans="1:11" x14ac:dyDescent="0.25">
      <c r="A83" s="1">
        <v>201</v>
      </c>
      <c r="B83">
        <v>19</v>
      </c>
      <c r="C83">
        <v>32.11</v>
      </c>
      <c r="D83">
        <v>0</v>
      </c>
      <c r="E83">
        <f t="shared" si="1"/>
        <v>0</v>
      </c>
      <c r="F83">
        <v>2130.6759000000002</v>
      </c>
      <c r="G83" t="s">
        <v>13</v>
      </c>
      <c r="H83" t="s">
        <v>11</v>
      </c>
      <c r="I83" t="s">
        <v>7</v>
      </c>
      <c r="J83">
        <f>_xlfn.XLOOKUP(C83,dim_BMI!$C$2:$C$7,dim_BMI!$A$2:$A$7,,1)</f>
        <v>4</v>
      </c>
      <c r="K83" t="str">
        <f>_xlfn.XLOOKUP(C83,dim_BMI!$C$2:$C$7,dim_BMI!$B$2:$B$7,,1)</f>
        <v>30.0 to 34.9 (Obesity Class 1)</v>
      </c>
    </row>
    <row r="84" spans="1:11" x14ac:dyDescent="0.25">
      <c r="A84" s="1">
        <v>224</v>
      </c>
      <c r="B84">
        <v>19</v>
      </c>
      <c r="C84">
        <v>34.799999999999997</v>
      </c>
      <c r="D84">
        <v>0</v>
      </c>
      <c r="E84">
        <f t="shared" si="1"/>
        <v>1</v>
      </c>
      <c r="F84">
        <v>34779.614999999998</v>
      </c>
      <c r="G84" t="s">
        <v>9</v>
      </c>
      <c r="H84" t="s">
        <v>8</v>
      </c>
      <c r="I84" t="s">
        <v>10</v>
      </c>
      <c r="J84">
        <f>_xlfn.XLOOKUP(C84,dim_BMI!$C$2:$C$7,dim_BMI!$A$2:$A$7,,1)</f>
        <v>4</v>
      </c>
      <c r="K84" t="str">
        <f>_xlfn.XLOOKUP(C84,dim_BMI!$C$2:$C$7,dim_BMI!$B$2:$B$7,,1)</f>
        <v>30.0 to 34.9 (Obesity Class 1)</v>
      </c>
    </row>
    <row r="85" spans="1:11" x14ac:dyDescent="0.25">
      <c r="A85" s="1">
        <v>233</v>
      </c>
      <c r="B85">
        <v>19</v>
      </c>
      <c r="C85">
        <v>17.8</v>
      </c>
      <c r="D85">
        <v>0</v>
      </c>
      <c r="E85">
        <f t="shared" si="1"/>
        <v>0</v>
      </c>
      <c r="F85">
        <v>1727.7850000000001</v>
      </c>
      <c r="G85" t="s">
        <v>9</v>
      </c>
      <c r="H85" t="s">
        <v>11</v>
      </c>
      <c r="I85" t="s">
        <v>7</v>
      </c>
      <c r="J85">
        <f>_xlfn.XLOOKUP(C85,dim_BMI!$C$2:$C$7,dim_BMI!$A$2:$A$7,,1)</f>
        <v>1</v>
      </c>
      <c r="K85" t="str">
        <f>_xlfn.XLOOKUP(C85,dim_BMI!$C$2:$C$7,dim_BMI!$B$2:$B$7,,1)</f>
        <v>18.49 or less (Underweight)</v>
      </c>
    </row>
    <row r="86" spans="1:11" x14ac:dyDescent="0.25">
      <c r="A86" s="1">
        <v>239</v>
      </c>
      <c r="B86">
        <v>19</v>
      </c>
      <c r="C86">
        <v>29.07</v>
      </c>
      <c r="D86">
        <v>0</v>
      </c>
      <c r="E86">
        <f t="shared" si="1"/>
        <v>1</v>
      </c>
      <c r="F86">
        <v>17352.6803</v>
      </c>
      <c r="G86" t="s">
        <v>13</v>
      </c>
      <c r="H86" t="s">
        <v>8</v>
      </c>
      <c r="I86" t="s">
        <v>10</v>
      </c>
      <c r="J86">
        <f>_xlfn.XLOOKUP(C86,dim_BMI!$C$2:$C$7,dim_BMI!$A$2:$A$7,,1)</f>
        <v>3</v>
      </c>
      <c r="K86" t="str">
        <f>_xlfn.XLOOKUP(C86,dim_BMI!$C$2:$C$7,dim_BMI!$B$2:$B$7,,1)</f>
        <v>25.0 to 29.9 (Overweight)</v>
      </c>
    </row>
    <row r="87" spans="1:11" x14ac:dyDescent="0.25">
      <c r="A87" s="1">
        <v>249</v>
      </c>
      <c r="B87">
        <v>19</v>
      </c>
      <c r="C87">
        <v>20.9</v>
      </c>
      <c r="D87">
        <v>1</v>
      </c>
      <c r="E87">
        <f t="shared" si="1"/>
        <v>0</v>
      </c>
      <c r="F87">
        <v>1832.0940000000001</v>
      </c>
      <c r="G87" t="s">
        <v>9</v>
      </c>
      <c r="H87" t="s">
        <v>11</v>
      </c>
      <c r="I87" t="s">
        <v>10</v>
      </c>
      <c r="J87">
        <f>_xlfn.XLOOKUP(C87,dim_BMI!$C$2:$C$7,dim_BMI!$A$2:$A$7,,1)</f>
        <v>2</v>
      </c>
      <c r="K87" t="str">
        <f>_xlfn.XLOOKUP(C87,dim_BMI!$C$2:$C$7,dim_BMI!$B$2:$B$7,,1)</f>
        <v>18.5 to 24.9 (Healthy Weight)</v>
      </c>
    </row>
    <row r="88" spans="1:11" x14ac:dyDescent="0.25">
      <c r="A88" s="1">
        <v>260</v>
      </c>
      <c r="B88">
        <v>19</v>
      </c>
      <c r="C88">
        <v>31.92</v>
      </c>
      <c r="D88">
        <v>0</v>
      </c>
      <c r="E88">
        <f t="shared" si="1"/>
        <v>1</v>
      </c>
      <c r="F88">
        <v>33750.291799999999</v>
      </c>
      <c r="G88" t="s">
        <v>13</v>
      </c>
      <c r="H88" t="s">
        <v>8</v>
      </c>
      <c r="I88" t="s">
        <v>10</v>
      </c>
      <c r="J88">
        <f>_xlfn.XLOOKUP(C88,dim_BMI!$C$2:$C$7,dim_BMI!$A$2:$A$7,,1)</f>
        <v>4</v>
      </c>
      <c r="K88" t="str">
        <f>_xlfn.XLOOKUP(C88,dim_BMI!$C$2:$C$7,dim_BMI!$B$2:$B$7,,1)</f>
        <v>30.0 to 34.9 (Obesity Class 1)</v>
      </c>
    </row>
    <row r="89" spans="1:11" x14ac:dyDescent="0.25">
      <c r="A89" s="1">
        <v>264</v>
      </c>
      <c r="B89">
        <v>19</v>
      </c>
      <c r="C89">
        <v>36.954999999999998</v>
      </c>
      <c r="D89">
        <v>0</v>
      </c>
      <c r="E89">
        <f t="shared" si="1"/>
        <v>1</v>
      </c>
      <c r="F89">
        <v>36219.405449999998</v>
      </c>
      <c r="G89" t="s">
        <v>13</v>
      </c>
      <c r="H89" t="s">
        <v>8</v>
      </c>
      <c r="I89" t="s">
        <v>10</v>
      </c>
      <c r="J89">
        <f>_xlfn.XLOOKUP(C89,dim_BMI!$C$2:$C$7,dim_BMI!$A$2:$A$7,,1)</f>
        <v>5</v>
      </c>
      <c r="K89" t="str">
        <f>_xlfn.XLOOKUP(C89,dim_BMI!$C$2:$C$7,dim_BMI!$B$2:$B$7,,1)</f>
        <v>35 to 39.9 (Obesity Class 2)</v>
      </c>
    </row>
    <row r="90" spans="1:11" x14ac:dyDescent="0.25">
      <c r="A90" s="1">
        <v>277</v>
      </c>
      <c r="B90">
        <v>19</v>
      </c>
      <c r="C90">
        <v>20.614999999999998</v>
      </c>
      <c r="D90">
        <v>2</v>
      </c>
      <c r="E90">
        <f t="shared" si="1"/>
        <v>0</v>
      </c>
      <c r="F90">
        <v>2803.69785</v>
      </c>
      <c r="G90" t="s">
        <v>13</v>
      </c>
      <c r="H90" t="s">
        <v>11</v>
      </c>
      <c r="I90" t="s">
        <v>10</v>
      </c>
      <c r="J90">
        <f>_xlfn.XLOOKUP(C90,dim_BMI!$C$2:$C$7,dim_BMI!$A$2:$A$7,,1)</f>
        <v>2</v>
      </c>
      <c r="K90" t="str">
        <f>_xlfn.XLOOKUP(C90,dim_BMI!$C$2:$C$7,dim_BMI!$B$2:$B$7,,1)</f>
        <v>18.5 to 24.9 (Healthy Weight)</v>
      </c>
    </row>
    <row r="91" spans="1:11" x14ac:dyDescent="0.25">
      <c r="A91" s="1">
        <v>297</v>
      </c>
      <c r="B91">
        <v>19</v>
      </c>
      <c r="C91">
        <v>27.7</v>
      </c>
      <c r="D91">
        <v>0</v>
      </c>
      <c r="E91">
        <f t="shared" si="1"/>
        <v>1</v>
      </c>
      <c r="F91">
        <v>16297.846</v>
      </c>
      <c r="G91" t="s">
        <v>9</v>
      </c>
      <c r="H91" t="s">
        <v>8</v>
      </c>
      <c r="I91" t="s">
        <v>10</v>
      </c>
      <c r="J91">
        <f>_xlfn.XLOOKUP(C91,dim_BMI!$C$2:$C$7,dim_BMI!$A$2:$A$7,,1)</f>
        <v>3</v>
      </c>
      <c r="K91" t="str">
        <f>_xlfn.XLOOKUP(C91,dim_BMI!$C$2:$C$7,dim_BMI!$B$2:$B$7,,1)</f>
        <v>25.0 to 29.9 (Overweight)</v>
      </c>
    </row>
    <row r="92" spans="1:11" x14ac:dyDescent="0.25">
      <c r="A92" s="1">
        <v>312</v>
      </c>
      <c r="B92">
        <v>19</v>
      </c>
      <c r="C92">
        <v>24.7</v>
      </c>
      <c r="D92">
        <v>0</v>
      </c>
      <c r="E92">
        <f t="shared" si="1"/>
        <v>0</v>
      </c>
      <c r="F92">
        <v>1737.376</v>
      </c>
      <c r="G92" t="s">
        <v>9</v>
      </c>
      <c r="H92" t="s">
        <v>11</v>
      </c>
      <c r="I92" t="s">
        <v>7</v>
      </c>
      <c r="J92">
        <f>_xlfn.XLOOKUP(C92,dim_BMI!$C$2:$C$7,dim_BMI!$A$2:$A$7,,1)</f>
        <v>2</v>
      </c>
      <c r="K92" t="str">
        <f>_xlfn.XLOOKUP(C92,dim_BMI!$C$2:$C$7,dim_BMI!$B$2:$B$7,,1)</f>
        <v>18.5 to 24.9 (Healthy Weight)</v>
      </c>
    </row>
    <row r="93" spans="1:11" x14ac:dyDescent="0.25">
      <c r="A93" s="1">
        <v>350</v>
      </c>
      <c r="B93">
        <v>19</v>
      </c>
      <c r="C93">
        <v>27.835000000000001</v>
      </c>
      <c r="D93">
        <v>0</v>
      </c>
      <c r="E93">
        <f t="shared" si="1"/>
        <v>0</v>
      </c>
      <c r="F93">
        <v>1635.7336499999999</v>
      </c>
      <c r="G93" t="s">
        <v>13</v>
      </c>
      <c r="H93" t="s">
        <v>11</v>
      </c>
      <c r="I93" t="s">
        <v>10</v>
      </c>
      <c r="J93">
        <f>_xlfn.XLOOKUP(C93,dim_BMI!$C$2:$C$7,dim_BMI!$A$2:$A$7,,1)</f>
        <v>3</v>
      </c>
      <c r="K93" t="str">
        <f>_xlfn.XLOOKUP(C93,dim_BMI!$C$2:$C$7,dim_BMI!$B$2:$B$7,,1)</f>
        <v>25.0 to 29.9 (Overweight)</v>
      </c>
    </row>
    <row r="94" spans="1:11" x14ac:dyDescent="0.25">
      <c r="A94" s="1">
        <v>363</v>
      </c>
      <c r="B94">
        <v>19</v>
      </c>
      <c r="C94">
        <v>21.7</v>
      </c>
      <c r="D94">
        <v>0</v>
      </c>
      <c r="E94">
        <f t="shared" si="1"/>
        <v>1</v>
      </c>
      <c r="F94">
        <v>13844.505999999999</v>
      </c>
      <c r="G94" t="s">
        <v>9</v>
      </c>
      <c r="H94" t="s">
        <v>8</v>
      </c>
      <c r="I94" t="s">
        <v>7</v>
      </c>
      <c r="J94">
        <f>_xlfn.XLOOKUP(C94,dim_BMI!$C$2:$C$7,dim_BMI!$A$2:$A$7,,1)</f>
        <v>2</v>
      </c>
      <c r="K94" t="str">
        <f>_xlfn.XLOOKUP(C94,dim_BMI!$C$2:$C$7,dim_BMI!$B$2:$B$7,,1)</f>
        <v>18.5 to 24.9 (Healthy Weight)</v>
      </c>
    </row>
    <row r="95" spans="1:11" x14ac:dyDescent="0.25">
      <c r="A95" s="1">
        <v>386</v>
      </c>
      <c r="B95">
        <v>19</v>
      </c>
      <c r="C95">
        <v>34.4</v>
      </c>
      <c r="D95">
        <v>0</v>
      </c>
      <c r="E95">
        <f t="shared" si="1"/>
        <v>0</v>
      </c>
      <c r="F95">
        <v>1261.8589999999999</v>
      </c>
      <c r="G95" t="s">
        <v>9</v>
      </c>
      <c r="H95" t="s">
        <v>11</v>
      </c>
      <c r="I95" t="s">
        <v>10</v>
      </c>
      <c r="J95">
        <f>_xlfn.XLOOKUP(C95,dim_BMI!$C$2:$C$7,dim_BMI!$A$2:$A$7,,1)</f>
        <v>4</v>
      </c>
      <c r="K95" t="str">
        <f>_xlfn.XLOOKUP(C95,dim_BMI!$C$2:$C$7,dim_BMI!$B$2:$B$7,,1)</f>
        <v>30.0 to 34.9 (Obesity Class 1)</v>
      </c>
    </row>
    <row r="96" spans="1:11" x14ac:dyDescent="0.25">
      <c r="A96" s="1">
        <v>392</v>
      </c>
      <c r="B96">
        <v>19</v>
      </c>
      <c r="C96">
        <v>37.43</v>
      </c>
      <c r="D96">
        <v>0</v>
      </c>
      <c r="E96">
        <f t="shared" si="1"/>
        <v>0</v>
      </c>
      <c r="F96">
        <v>2138.0707000000002</v>
      </c>
      <c r="G96" t="s">
        <v>13</v>
      </c>
      <c r="H96" t="s">
        <v>11</v>
      </c>
      <c r="I96" t="s">
        <v>7</v>
      </c>
      <c r="J96">
        <f>_xlfn.XLOOKUP(C96,dim_BMI!$C$2:$C$7,dim_BMI!$A$2:$A$7,,1)</f>
        <v>5</v>
      </c>
      <c r="K96" t="str">
        <f>_xlfn.XLOOKUP(C96,dim_BMI!$C$2:$C$7,dim_BMI!$B$2:$B$7,,1)</f>
        <v>35 to 39.9 (Obesity Class 2)</v>
      </c>
    </row>
    <row r="97" spans="1:11" x14ac:dyDescent="0.25">
      <c r="A97" s="1">
        <v>411</v>
      </c>
      <c r="B97">
        <v>19</v>
      </c>
      <c r="C97">
        <v>17.48</v>
      </c>
      <c r="D97">
        <v>0</v>
      </c>
      <c r="E97">
        <f t="shared" si="1"/>
        <v>0</v>
      </c>
      <c r="F97">
        <v>1621.3402000000001</v>
      </c>
      <c r="G97" t="s">
        <v>13</v>
      </c>
      <c r="H97" t="s">
        <v>11</v>
      </c>
      <c r="I97" t="s">
        <v>10</v>
      </c>
      <c r="J97">
        <f>_xlfn.XLOOKUP(C97,dim_BMI!$C$2:$C$7,dim_BMI!$A$2:$A$7,,1)</f>
        <v>1</v>
      </c>
      <c r="K97" t="str">
        <f>_xlfn.XLOOKUP(C97,dim_BMI!$C$2:$C$7,dim_BMI!$B$2:$B$7,,1)</f>
        <v>18.49 or less (Underweight)</v>
      </c>
    </row>
    <row r="98" spans="1:11" x14ac:dyDescent="0.25">
      <c r="A98" s="1">
        <v>415</v>
      </c>
      <c r="B98">
        <v>19</v>
      </c>
      <c r="C98">
        <v>35.15</v>
      </c>
      <c r="D98">
        <v>0</v>
      </c>
      <c r="E98">
        <f t="shared" si="1"/>
        <v>0</v>
      </c>
      <c r="F98">
        <v>2134.9014999999999</v>
      </c>
      <c r="G98" t="s">
        <v>13</v>
      </c>
      <c r="H98" t="s">
        <v>11</v>
      </c>
      <c r="I98" t="s">
        <v>7</v>
      </c>
      <c r="J98">
        <f>_xlfn.XLOOKUP(C98,dim_BMI!$C$2:$C$7,dim_BMI!$A$2:$A$7,,1)</f>
        <v>5</v>
      </c>
      <c r="K98" t="str">
        <f>_xlfn.XLOOKUP(C98,dim_BMI!$C$2:$C$7,dim_BMI!$B$2:$B$7,,1)</f>
        <v>35 to 39.9 (Obesity Class 2)</v>
      </c>
    </row>
    <row r="99" spans="1:11" x14ac:dyDescent="0.25">
      <c r="A99" s="1">
        <v>431</v>
      </c>
      <c r="B99">
        <v>19</v>
      </c>
      <c r="C99">
        <v>33.1</v>
      </c>
      <c r="D99">
        <v>0</v>
      </c>
      <c r="E99">
        <f t="shared" si="1"/>
        <v>0</v>
      </c>
      <c r="F99">
        <v>23082.955330000001</v>
      </c>
      <c r="G99" t="s">
        <v>9</v>
      </c>
      <c r="H99" t="s">
        <v>11</v>
      </c>
      <c r="I99" t="s">
        <v>10</v>
      </c>
      <c r="J99">
        <f>_xlfn.XLOOKUP(C99,dim_BMI!$C$2:$C$7,dim_BMI!$A$2:$A$7,,1)</f>
        <v>4</v>
      </c>
      <c r="K99" t="str">
        <f>_xlfn.XLOOKUP(C99,dim_BMI!$C$2:$C$7,dim_BMI!$B$2:$B$7,,1)</f>
        <v>30.0 to 34.9 (Obesity Class 1)</v>
      </c>
    </row>
    <row r="100" spans="1:11" x14ac:dyDescent="0.25">
      <c r="A100" s="1">
        <v>465</v>
      </c>
      <c r="B100">
        <v>19</v>
      </c>
      <c r="C100">
        <v>25.175000000000001</v>
      </c>
      <c r="D100">
        <v>0</v>
      </c>
      <c r="E100">
        <f t="shared" si="1"/>
        <v>0</v>
      </c>
      <c r="F100">
        <v>1632.0362500000001</v>
      </c>
      <c r="G100" t="s">
        <v>13</v>
      </c>
      <c r="H100" t="s">
        <v>11</v>
      </c>
      <c r="I100" t="s">
        <v>10</v>
      </c>
      <c r="J100">
        <f>_xlfn.XLOOKUP(C100,dim_BMI!$C$2:$C$7,dim_BMI!$A$2:$A$7,,1)</f>
        <v>3</v>
      </c>
      <c r="K100" t="str">
        <f>_xlfn.XLOOKUP(C100,dim_BMI!$C$2:$C$7,dim_BMI!$B$2:$B$7,,1)</f>
        <v>25.0 to 29.9 (Overweight)</v>
      </c>
    </row>
    <row r="101" spans="1:11" x14ac:dyDescent="0.25">
      <c r="A101" s="1">
        <v>473</v>
      </c>
      <c r="B101">
        <v>19</v>
      </c>
      <c r="C101">
        <v>29.8</v>
      </c>
      <c r="D101">
        <v>0</v>
      </c>
      <c r="E101">
        <f t="shared" si="1"/>
        <v>0</v>
      </c>
      <c r="F101">
        <v>1744.4649999999999</v>
      </c>
      <c r="G101" t="s">
        <v>9</v>
      </c>
      <c r="H101" t="s">
        <v>11</v>
      </c>
      <c r="I101" t="s">
        <v>7</v>
      </c>
      <c r="J101">
        <f>_xlfn.XLOOKUP(C101,dim_BMI!$C$2:$C$7,dim_BMI!$A$2:$A$7,,1)</f>
        <v>3</v>
      </c>
      <c r="K101" t="str">
        <f>_xlfn.XLOOKUP(C101,dim_BMI!$C$2:$C$7,dim_BMI!$B$2:$B$7,,1)</f>
        <v>25.0 to 29.9 (Overweight)</v>
      </c>
    </row>
    <row r="102" spans="1:11" x14ac:dyDescent="0.25">
      <c r="A102" s="1">
        <v>488</v>
      </c>
      <c r="B102">
        <v>19</v>
      </c>
      <c r="C102">
        <v>28.7</v>
      </c>
      <c r="D102">
        <v>0</v>
      </c>
      <c r="E102">
        <f t="shared" si="1"/>
        <v>0</v>
      </c>
      <c r="F102">
        <v>1253.9359999999999</v>
      </c>
      <c r="G102" t="s">
        <v>9</v>
      </c>
      <c r="H102" t="s">
        <v>11</v>
      </c>
      <c r="I102" t="s">
        <v>10</v>
      </c>
      <c r="J102">
        <f>_xlfn.XLOOKUP(C102,dim_BMI!$C$2:$C$7,dim_BMI!$A$2:$A$7,,1)</f>
        <v>3</v>
      </c>
      <c r="K102" t="str">
        <f>_xlfn.XLOOKUP(C102,dim_BMI!$C$2:$C$7,dim_BMI!$B$2:$B$7,,1)</f>
        <v>25.0 to 29.9 (Overweight)</v>
      </c>
    </row>
    <row r="103" spans="1:11" x14ac:dyDescent="0.25">
      <c r="A103" s="1">
        <v>491</v>
      </c>
      <c r="B103">
        <v>19</v>
      </c>
      <c r="C103">
        <v>32.9</v>
      </c>
      <c r="D103">
        <v>0</v>
      </c>
      <c r="E103">
        <f t="shared" si="1"/>
        <v>0</v>
      </c>
      <c r="F103">
        <v>1748.7739999999999</v>
      </c>
      <c r="G103" t="s">
        <v>9</v>
      </c>
      <c r="H103" t="s">
        <v>11</v>
      </c>
      <c r="I103" t="s">
        <v>7</v>
      </c>
      <c r="J103">
        <f>_xlfn.XLOOKUP(C103,dim_BMI!$C$2:$C$7,dim_BMI!$A$2:$A$7,,1)</f>
        <v>4</v>
      </c>
      <c r="K103" t="str">
        <f>_xlfn.XLOOKUP(C103,dim_BMI!$C$2:$C$7,dim_BMI!$B$2:$B$7,,1)</f>
        <v>30.0 to 34.9 (Obesity Class 1)</v>
      </c>
    </row>
    <row r="104" spans="1:11" x14ac:dyDescent="0.25">
      <c r="A104" s="1">
        <v>504</v>
      </c>
      <c r="B104">
        <v>19</v>
      </c>
      <c r="C104">
        <v>30.25</v>
      </c>
      <c r="D104">
        <v>0</v>
      </c>
      <c r="E104">
        <f t="shared" si="1"/>
        <v>1</v>
      </c>
      <c r="F104">
        <v>32548.340499999998</v>
      </c>
      <c r="G104" t="s">
        <v>12</v>
      </c>
      <c r="H104" t="s">
        <v>8</v>
      </c>
      <c r="I104" t="s">
        <v>10</v>
      </c>
      <c r="J104">
        <f>_xlfn.XLOOKUP(C104,dim_BMI!$C$2:$C$7,dim_BMI!$A$2:$A$7,,1)</f>
        <v>4</v>
      </c>
      <c r="K104" t="str">
        <f>_xlfn.XLOOKUP(C104,dim_BMI!$C$2:$C$7,dim_BMI!$B$2:$B$7,,1)</f>
        <v>30.0 to 34.9 (Obesity Class 1)</v>
      </c>
    </row>
    <row r="105" spans="1:11" x14ac:dyDescent="0.25">
      <c r="A105" s="1">
        <v>514</v>
      </c>
      <c r="B105">
        <v>19</v>
      </c>
      <c r="C105">
        <v>30.4</v>
      </c>
      <c r="D105">
        <v>0</v>
      </c>
      <c r="E105">
        <f t="shared" si="1"/>
        <v>0</v>
      </c>
      <c r="F105">
        <v>1256.299</v>
      </c>
      <c r="G105" t="s">
        <v>9</v>
      </c>
      <c r="H105" t="s">
        <v>11</v>
      </c>
      <c r="I105" t="s">
        <v>10</v>
      </c>
      <c r="J105">
        <f>_xlfn.XLOOKUP(C105,dim_BMI!$C$2:$C$7,dim_BMI!$A$2:$A$7,,1)</f>
        <v>4</v>
      </c>
      <c r="K105" t="str">
        <f>_xlfn.XLOOKUP(C105,dim_BMI!$C$2:$C$7,dim_BMI!$B$2:$B$7,,1)</f>
        <v>30.0 to 34.9 (Obesity Class 1)</v>
      </c>
    </row>
    <row r="106" spans="1:11" x14ac:dyDescent="0.25">
      <c r="A106" s="1">
        <v>527</v>
      </c>
      <c r="B106">
        <v>19</v>
      </c>
      <c r="C106">
        <v>30.59</v>
      </c>
      <c r="D106">
        <v>2</v>
      </c>
      <c r="E106">
        <f t="shared" si="1"/>
        <v>0</v>
      </c>
      <c r="F106">
        <v>24059.680189999999</v>
      </c>
      <c r="G106" t="s">
        <v>13</v>
      </c>
      <c r="H106" t="s">
        <v>11</v>
      </c>
      <c r="I106" t="s">
        <v>7</v>
      </c>
      <c r="J106">
        <f>_xlfn.XLOOKUP(C106,dim_BMI!$C$2:$C$7,dim_BMI!$A$2:$A$7,,1)</f>
        <v>4</v>
      </c>
      <c r="K106" t="str">
        <f>_xlfn.XLOOKUP(C106,dim_BMI!$C$2:$C$7,dim_BMI!$B$2:$B$7,,1)</f>
        <v>30.0 to 34.9 (Obesity Class 1)</v>
      </c>
    </row>
    <row r="107" spans="1:11" x14ac:dyDescent="0.25">
      <c r="A107" s="1">
        <v>560</v>
      </c>
      <c r="B107">
        <v>19</v>
      </c>
      <c r="C107">
        <v>35.53</v>
      </c>
      <c r="D107">
        <v>0</v>
      </c>
      <c r="E107">
        <f t="shared" si="1"/>
        <v>0</v>
      </c>
      <c r="F107">
        <v>1646.4296999999999</v>
      </c>
      <c r="G107" t="s">
        <v>13</v>
      </c>
      <c r="H107" t="s">
        <v>11</v>
      </c>
      <c r="I107" t="s">
        <v>10</v>
      </c>
      <c r="J107">
        <f>_xlfn.XLOOKUP(C107,dim_BMI!$C$2:$C$7,dim_BMI!$A$2:$A$7,,1)</f>
        <v>5</v>
      </c>
      <c r="K107" t="str">
        <f>_xlfn.XLOOKUP(C107,dim_BMI!$C$2:$C$7,dim_BMI!$B$2:$B$7,,1)</f>
        <v>35 to 39.9 (Obesity Class 2)</v>
      </c>
    </row>
    <row r="108" spans="1:11" x14ac:dyDescent="0.25">
      <c r="A108" s="1">
        <v>566</v>
      </c>
      <c r="B108">
        <v>19</v>
      </c>
      <c r="C108">
        <v>30.495000000000001</v>
      </c>
      <c r="D108">
        <v>0</v>
      </c>
      <c r="E108">
        <f t="shared" si="1"/>
        <v>0</v>
      </c>
      <c r="F108">
        <v>2128.4310500000001</v>
      </c>
      <c r="G108" t="s">
        <v>13</v>
      </c>
      <c r="H108" t="s">
        <v>11</v>
      </c>
      <c r="I108" t="s">
        <v>7</v>
      </c>
      <c r="J108">
        <f>_xlfn.XLOOKUP(C108,dim_BMI!$C$2:$C$7,dim_BMI!$A$2:$A$7,,1)</f>
        <v>4</v>
      </c>
      <c r="K108" t="str">
        <f>_xlfn.XLOOKUP(C108,dim_BMI!$C$2:$C$7,dim_BMI!$B$2:$B$7,,1)</f>
        <v>30.0 to 34.9 (Obesity Class 1)</v>
      </c>
    </row>
    <row r="109" spans="1:11" x14ac:dyDescent="0.25">
      <c r="A109" s="1">
        <v>582</v>
      </c>
      <c r="B109">
        <v>19</v>
      </c>
      <c r="C109">
        <v>30.59</v>
      </c>
      <c r="D109">
        <v>0</v>
      </c>
      <c r="E109">
        <f t="shared" si="1"/>
        <v>0</v>
      </c>
      <c r="F109">
        <v>1639.5631000000001</v>
      </c>
      <c r="G109" t="s">
        <v>13</v>
      </c>
      <c r="H109" t="s">
        <v>11</v>
      </c>
      <c r="I109" t="s">
        <v>10</v>
      </c>
      <c r="J109">
        <f>_xlfn.XLOOKUP(C109,dim_BMI!$C$2:$C$7,dim_BMI!$A$2:$A$7,,1)</f>
        <v>4</v>
      </c>
      <c r="K109" t="str">
        <f>_xlfn.XLOOKUP(C109,dim_BMI!$C$2:$C$7,dim_BMI!$B$2:$B$7,,1)</f>
        <v>30.0 to 34.9 (Obesity Class 1)</v>
      </c>
    </row>
    <row r="110" spans="1:11" x14ac:dyDescent="0.25">
      <c r="A110" s="1">
        <v>585</v>
      </c>
      <c r="B110">
        <v>19</v>
      </c>
      <c r="C110">
        <v>20.7</v>
      </c>
      <c r="D110">
        <v>0</v>
      </c>
      <c r="E110">
        <f t="shared" si="1"/>
        <v>0</v>
      </c>
      <c r="F110">
        <v>1242.816</v>
      </c>
      <c r="G110" t="s">
        <v>9</v>
      </c>
      <c r="H110" t="s">
        <v>11</v>
      </c>
      <c r="I110" t="s">
        <v>10</v>
      </c>
      <c r="J110">
        <f>_xlfn.XLOOKUP(C110,dim_BMI!$C$2:$C$7,dim_BMI!$A$2:$A$7,,1)</f>
        <v>2</v>
      </c>
      <c r="K110" t="str">
        <f>_xlfn.XLOOKUP(C110,dim_BMI!$C$2:$C$7,dim_BMI!$B$2:$B$7,,1)</f>
        <v>18.5 to 24.9 (Healthy Weight)</v>
      </c>
    </row>
    <row r="111" spans="1:11" x14ac:dyDescent="0.25">
      <c r="A111" s="1">
        <v>605</v>
      </c>
      <c r="B111">
        <v>19</v>
      </c>
      <c r="C111">
        <v>28.31</v>
      </c>
      <c r="D111">
        <v>0</v>
      </c>
      <c r="E111">
        <f t="shared" si="1"/>
        <v>1</v>
      </c>
      <c r="F111">
        <v>17468.983899999999</v>
      </c>
      <c r="G111" t="s">
        <v>13</v>
      </c>
      <c r="H111" t="s">
        <v>8</v>
      </c>
      <c r="I111" t="s">
        <v>7</v>
      </c>
      <c r="J111">
        <f>_xlfn.XLOOKUP(C111,dim_BMI!$C$2:$C$7,dim_BMI!$A$2:$A$7,,1)</f>
        <v>3</v>
      </c>
      <c r="K111" t="str">
        <f>_xlfn.XLOOKUP(C111,dim_BMI!$C$2:$C$7,dim_BMI!$B$2:$B$7,,1)</f>
        <v>25.0 to 29.9 (Overweight)</v>
      </c>
    </row>
    <row r="112" spans="1:11" x14ac:dyDescent="0.25">
      <c r="A112" s="1">
        <v>619</v>
      </c>
      <c r="B112">
        <v>19</v>
      </c>
      <c r="C112">
        <v>33.11</v>
      </c>
      <c r="D112">
        <v>0</v>
      </c>
      <c r="E112">
        <f t="shared" si="1"/>
        <v>1</v>
      </c>
      <c r="F112">
        <v>34439.855900000002</v>
      </c>
      <c r="G112" t="s">
        <v>12</v>
      </c>
      <c r="H112" t="s">
        <v>8</v>
      </c>
      <c r="I112" t="s">
        <v>7</v>
      </c>
      <c r="J112">
        <f>_xlfn.XLOOKUP(C112,dim_BMI!$C$2:$C$7,dim_BMI!$A$2:$A$7,,1)</f>
        <v>4</v>
      </c>
      <c r="K112" t="str">
        <f>_xlfn.XLOOKUP(C112,dim_BMI!$C$2:$C$7,dim_BMI!$B$2:$B$7,,1)</f>
        <v>30.0 to 34.9 (Obesity Class 1)</v>
      </c>
    </row>
    <row r="113" spans="1:11" x14ac:dyDescent="0.25">
      <c r="A113" s="1">
        <v>637</v>
      </c>
      <c r="B113">
        <v>19</v>
      </c>
      <c r="C113">
        <v>24.51</v>
      </c>
      <c r="D113">
        <v>1</v>
      </c>
      <c r="E113">
        <f t="shared" si="1"/>
        <v>0</v>
      </c>
      <c r="F113">
        <v>2709.1118999999999</v>
      </c>
      <c r="G113" t="s">
        <v>13</v>
      </c>
      <c r="H113" t="s">
        <v>11</v>
      </c>
      <c r="I113" t="s">
        <v>7</v>
      </c>
      <c r="J113">
        <f>_xlfn.XLOOKUP(C113,dim_BMI!$C$2:$C$7,dim_BMI!$A$2:$A$7,,1)</f>
        <v>2</v>
      </c>
      <c r="K113" t="str">
        <f>_xlfn.XLOOKUP(C113,dim_BMI!$C$2:$C$7,dim_BMI!$B$2:$B$7,,1)</f>
        <v>18.5 to 24.9 (Healthy Weight)</v>
      </c>
    </row>
    <row r="114" spans="1:11" x14ac:dyDescent="0.25">
      <c r="A114" s="1">
        <v>682</v>
      </c>
      <c r="B114">
        <v>19</v>
      </c>
      <c r="C114">
        <v>20.3</v>
      </c>
      <c r="D114">
        <v>0</v>
      </c>
      <c r="E114">
        <f t="shared" si="1"/>
        <v>0</v>
      </c>
      <c r="F114">
        <v>1242.26</v>
      </c>
      <c r="G114" t="s">
        <v>9</v>
      </c>
      <c r="H114" t="s">
        <v>11</v>
      </c>
      <c r="I114" t="s">
        <v>10</v>
      </c>
      <c r="J114">
        <f>_xlfn.XLOOKUP(C114,dim_BMI!$C$2:$C$7,dim_BMI!$A$2:$A$7,,1)</f>
        <v>2</v>
      </c>
      <c r="K114" t="str">
        <f>_xlfn.XLOOKUP(C114,dim_BMI!$C$2:$C$7,dim_BMI!$B$2:$B$7,,1)</f>
        <v>18.5 to 24.9 (Healthy Weight)</v>
      </c>
    </row>
    <row r="115" spans="1:11" x14ac:dyDescent="0.25">
      <c r="A115" s="1">
        <v>724</v>
      </c>
      <c r="B115">
        <v>19</v>
      </c>
      <c r="C115">
        <v>35.4</v>
      </c>
      <c r="D115">
        <v>0</v>
      </c>
      <c r="E115">
        <f t="shared" si="1"/>
        <v>0</v>
      </c>
      <c r="F115">
        <v>1263.249</v>
      </c>
      <c r="G115" t="s">
        <v>9</v>
      </c>
      <c r="H115" t="s">
        <v>11</v>
      </c>
      <c r="I115" t="s">
        <v>10</v>
      </c>
      <c r="J115">
        <f>_xlfn.XLOOKUP(C115,dim_BMI!$C$2:$C$7,dim_BMI!$A$2:$A$7,,1)</f>
        <v>5</v>
      </c>
      <c r="K115" t="str">
        <f>_xlfn.XLOOKUP(C115,dim_BMI!$C$2:$C$7,dim_BMI!$B$2:$B$7,,1)</f>
        <v>35 to 39.9 (Obesity Class 2)</v>
      </c>
    </row>
    <row r="116" spans="1:11" x14ac:dyDescent="0.25">
      <c r="A116" s="1">
        <v>748</v>
      </c>
      <c r="B116">
        <v>19</v>
      </c>
      <c r="C116">
        <v>21.754999999999999</v>
      </c>
      <c r="D116">
        <v>0</v>
      </c>
      <c r="E116">
        <f t="shared" si="1"/>
        <v>0</v>
      </c>
      <c r="F116">
        <v>1627.2824499999999</v>
      </c>
      <c r="G116" t="s">
        <v>13</v>
      </c>
      <c r="H116" t="s">
        <v>11</v>
      </c>
      <c r="I116" t="s">
        <v>10</v>
      </c>
      <c r="J116">
        <f>_xlfn.XLOOKUP(C116,dim_BMI!$C$2:$C$7,dim_BMI!$A$2:$A$7,,1)</f>
        <v>2</v>
      </c>
      <c r="K116" t="str">
        <f>_xlfn.XLOOKUP(C116,dim_BMI!$C$2:$C$7,dim_BMI!$B$2:$B$7,,1)</f>
        <v>18.5 to 24.9 (Healthy Weight)</v>
      </c>
    </row>
    <row r="117" spans="1:11" x14ac:dyDescent="0.25">
      <c r="A117" s="1">
        <v>774</v>
      </c>
      <c r="B117">
        <v>19</v>
      </c>
      <c r="C117">
        <v>28.88</v>
      </c>
      <c r="D117">
        <v>0</v>
      </c>
      <c r="E117">
        <f t="shared" si="1"/>
        <v>1</v>
      </c>
      <c r="F117">
        <v>17748.5062</v>
      </c>
      <c r="G117" t="s">
        <v>13</v>
      </c>
      <c r="H117" t="s">
        <v>8</v>
      </c>
      <c r="I117" t="s">
        <v>7</v>
      </c>
      <c r="J117">
        <f>_xlfn.XLOOKUP(C117,dim_BMI!$C$2:$C$7,dim_BMI!$A$2:$A$7,,1)</f>
        <v>3</v>
      </c>
      <c r="K117" t="str">
        <f>_xlfn.XLOOKUP(C117,dim_BMI!$C$2:$C$7,dim_BMI!$B$2:$B$7,,1)</f>
        <v>25.0 to 29.9 (Overweight)</v>
      </c>
    </row>
    <row r="118" spans="1:11" x14ac:dyDescent="0.25">
      <c r="A118" s="1">
        <v>792</v>
      </c>
      <c r="B118">
        <v>19</v>
      </c>
      <c r="C118">
        <v>27.6</v>
      </c>
      <c r="D118">
        <v>0</v>
      </c>
      <c r="E118">
        <f t="shared" si="1"/>
        <v>0</v>
      </c>
      <c r="F118">
        <v>1252.4069999999999</v>
      </c>
      <c r="G118" t="s">
        <v>9</v>
      </c>
      <c r="H118" t="s">
        <v>11</v>
      </c>
      <c r="I118" t="s">
        <v>10</v>
      </c>
      <c r="J118">
        <f>_xlfn.XLOOKUP(C118,dim_BMI!$C$2:$C$7,dim_BMI!$A$2:$A$7,,1)</f>
        <v>3</v>
      </c>
      <c r="K118" t="str">
        <f>_xlfn.XLOOKUP(C118,dim_BMI!$C$2:$C$7,dim_BMI!$B$2:$B$7,,1)</f>
        <v>25.0 to 29.9 (Overweight)</v>
      </c>
    </row>
    <row r="119" spans="1:11" x14ac:dyDescent="0.25">
      <c r="A119" s="1">
        <v>808</v>
      </c>
      <c r="B119">
        <v>19</v>
      </c>
      <c r="C119">
        <v>36.575000000000003</v>
      </c>
      <c r="D119">
        <v>0</v>
      </c>
      <c r="E119">
        <f t="shared" si="1"/>
        <v>0</v>
      </c>
      <c r="F119">
        <v>2136.8822500000001</v>
      </c>
      <c r="G119" t="s">
        <v>13</v>
      </c>
      <c r="H119" t="s">
        <v>11</v>
      </c>
      <c r="I119" t="s">
        <v>7</v>
      </c>
      <c r="J119">
        <f>_xlfn.XLOOKUP(C119,dim_BMI!$C$2:$C$7,dim_BMI!$A$2:$A$7,,1)</f>
        <v>5</v>
      </c>
      <c r="K119" t="str">
        <f>_xlfn.XLOOKUP(C119,dim_BMI!$C$2:$C$7,dim_BMI!$B$2:$B$7,,1)</f>
        <v>35 to 39.9 (Obesity Class 2)</v>
      </c>
    </row>
    <row r="120" spans="1:11" x14ac:dyDescent="0.25">
      <c r="A120" s="1">
        <v>898</v>
      </c>
      <c r="B120">
        <v>19</v>
      </c>
      <c r="C120">
        <v>25.555</v>
      </c>
      <c r="D120">
        <v>1</v>
      </c>
      <c r="E120">
        <f t="shared" si="1"/>
        <v>0</v>
      </c>
      <c r="F120">
        <v>2221.5644499999999</v>
      </c>
      <c r="G120" t="s">
        <v>13</v>
      </c>
      <c r="H120" t="s">
        <v>11</v>
      </c>
      <c r="I120" t="s">
        <v>10</v>
      </c>
      <c r="J120">
        <f>_xlfn.XLOOKUP(C120,dim_BMI!$C$2:$C$7,dim_BMI!$A$2:$A$7,,1)</f>
        <v>3</v>
      </c>
      <c r="K120" t="str">
        <f>_xlfn.XLOOKUP(C120,dim_BMI!$C$2:$C$7,dim_BMI!$B$2:$B$7,,1)</f>
        <v>25.0 to 29.9 (Overweight)</v>
      </c>
    </row>
    <row r="121" spans="1:11" x14ac:dyDescent="0.25">
      <c r="A121" s="1">
        <v>900</v>
      </c>
      <c r="B121">
        <v>19</v>
      </c>
      <c r="C121">
        <v>22.515000000000001</v>
      </c>
      <c r="D121">
        <v>0</v>
      </c>
      <c r="E121">
        <f t="shared" si="1"/>
        <v>0</v>
      </c>
      <c r="F121">
        <v>2117.3388500000001</v>
      </c>
      <c r="G121" t="s">
        <v>13</v>
      </c>
      <c r="H121" t="s">
        <v>11</v>
      </c>
      <c r="I121" t="s">
        <v>7</v>
      </c>
      <c r="J121">
        <f>_xlfn.XLOOKUP(C121,dim_BMI!$C$2:$C$7,dim_BMI!$A$2:$A$7,,1)</f>
        <v>2</v>
      </c>
      <c r="K121" t="str">
        <f>_xlfn.XLOOKUP(C121,dim_BMI!$C$2:$C$7,dim_BMI!$B$2:$B$7,,1)</f>
        <v>18.5 to 24.9 (Healthy Weight)</v>
      </c>
    </row>
    <row r="122" spans="1:11" x14ac:dyDescent="0.25">
      <c r="A122" s="1">
        <v>927</v>
      </c>
      <c r="B122">
        <v>19</v>
      </c>
      <c r="C122">
        <v>23.4</v>
      </c>
      <c r="D122">
        <v>2</v>
      </c>
      <c r="E122">
        <f t="shared" si="1"/>
        <v>0</v>
      </c>
      <c r="F122">
        <v>2913.569</v>
      </c>
      <c r="G122" t="s">
        <v>9</v>
      </c>
      <c r="H122" t="s">
        <v>11</v>
      </c>
      <c r="I122" t="s">
        <v>7</v>
      </c>
      <c r="J122">
        <f>_xlfn.XLOOKUP(C122,dim_BMI!$C$2:$C$7,dim_BMI!$A$2:$A$7,,1)</f>
        <v>2</v>
      </c>
      <c r="K122" t="str">
        <f>_xlfn.XLOOKUP(C122,dim_BMI!$C$2:$C$7,dim_BMI!$B$2:$B$7,,1)</f>
        <v>18.5 to 24.9 (Healthy Weight)</v>
      </c>
    </row>
    <row r="123" spans="1:11" x14ac:dyDescent="0.25">
      <c r="A123" s="1">
        <v>944</v>
      </c>
      <c r="B123">
        <v>19</v>
      </c>
      <c r="C123">
        <v>22.61</v>
      </c>
      <c r="D123">
        <v>0</v>
      </c>
      <c r="E123">
        <f t="shared" si="1"/>
        <v>0</v>
      </c>
      <c r="F123">
        <v>1628.4709</v>
      </c>
      <c r="G123" t="s">
        <v>13</v>
      </c>
      <c r="H123" t="s">
        <v>11</v>
      </c>
      <c r="I123" t="s">
        <v>10</v>
      </c>
      <c r="J123">
        <f>_xlfn.XLOOKUP(C123,dim_BMI!$C$2:$C$7,dim_BMI!$A$2:$A$7,,1)</f>
        <v>2</v>
      </c>
      <c r="K123" t="str">
        <f>_xlfn.XLOOKUP(C123,dim_BMI!$C$2:$C$7,dim_BMI!$B$2:$B$7,,1)</f>
        <v>18.5 to 24.9 (Healthy Weight)</v>
      </c>
    </row>
    <row r="124" spans="1:11" x14ac:dyDescent="0.25">
      <c r="A124" s="1">
        <v>961</v>
      </c>
      <c r="B124">
        <v>19</v>
      </c>
      <c r="C124">
        <v>39.615000000000002</v>
      </c>
      <c r="D124">
        <v>1</v>
      </c>
      <c r="E124">
        <f t="shared" si="1"/>
        <v>0</v>
      </c>
      <c r="F124">
        <v>2730.1078499999999</v>
      </c>
      <c r="G124" t="s">
        <v>13</v>
      </c>
      <c r="H124" t="s">
        <v>11</v>
      </c>
      <c r="I124" t="s">
        <v>7</v>
      </c>
      <c r="J124">
        <f>_xlfn.XLOOKUP(C124,dim_BMI!$C$2:$C$7,dim_BMI!$A$2:$A$7,,1)</f>
        <v>5</v>
      </c>
      <c r="K124" t="str">
        <f>_xlfn.XLOOKUP(C124,dim_BMI!$C$2:$C$7,dim_BMI!$B$2:$B$7,,1)</f>
        <v>35 to 39.9 (Obesity Class 2)</v>
      </c>
    </row>
    <row r="125" spans="1:11" x14ac:dyDescent="0.25">
      <c r="A125" s="1">
        <v>974</v>
      </c>
      <c r="B125">
        <v>19</v>
      </c>
      <c r="C125">
        <v>40.5</v>
      </c>
      <c r="D125">
        <v>0</v>
      </c>
      <c r="E125">
        <f t="shared" si="1"/>
        <v>0</v>
      </c>
      <c r="F125">
        <v>1759.338</v>
      </c>
      <c r="G125" t="s">
        <v>9</v>
      </c>
      <c r="H125" t="s">
        <v>11</v>
      </c>
      <c r="I125" t="s">
        <v>7</v>
      </c>
      <c r="J125">
        <f>_xlfn.XLOOKUP(C125,dim_BMI!$C$2:$C$7,dim_BMI!$A$2:$A$7,,1)</f>
        <v>6</v>
      </c>
      <c r="K125" t="str">
        <f>_xlfn.XLOOKUP(C125,dim_BMI!$C$2:$C$7,dim_BMI!$B$2:$B$7,,1)</f>
        <v>40 or higher (Severe Obesity Class 3)</v>
      </c>
    </row>
    <row r="126" spans="1:11" x14ac:dyDescent="0.25">
      <c r="A126" s="1">
        <v>1017</v>
      </c>
      <c r="B126">
        <v>19</v>
      </c>
      <c r="C126">
        <v>24.605</v>
      </c>
      <c r="D126">
        <v>1</v>
      </c>
      <c r="E126">
        <f t="shared" si="1"/>
        <v>0</v>
      </c>
      <c r="F126">
        <v>2709.24395</v>
      </c>
      <c r="G126" t="s">
        <v>13</v>
      </c>
      <c r="H126" t="s">
        <v>11</v>
      </c>
      <c r="I126" t="s">
        <v>7</v>
      </c>
      <c r="J126">
        <f>_xlfn.XLOOKUP(C126,dim_BMI!$C$2:$C$7,dim_BMI!$A$2:$A$7,,1)</f>
        <v>2</v>
      </c>
      <c r="K126" t="str">
        <f>_xlfn.XLOOKUP(C126,dim_BMI!$C$2:$C$7,dim_BMI!$B$2:$B$7,,1)</f>
        <v>18.5 to 24.9 (Healthy Weight)</v>
      </c>
    </row>
    <row r="127" spans="1:11" x14ac:dyDescent="0.25">
      <c r="A127" s="1">
        <v>1027</v>
      </c>
      <c r="B127">
        <v>19</v>
      </c>
      <c r="C127">
        <v>26.03</v>
      </c>
      <c r="D127">
        <v>1</v>
      </c>
      <c r="E127">
        <f t="shared" si="1"/>
        <v>1</v>
      </c>
      <c r="F127">
        <v>16450.894700000001</v>
      </c>
      <c r="G127" t="s">
        <v>13</v>
      </c>
      <c r="H127" t="s">
        <v>8</v>
      </c>
      <c r="I127" t="s">
        <v>10</v>
      </c>
      <c r="J127">
        <f>_xlfn.XLOOKUP(C127,dim_BMI!$C$2:$C$7,dim_BMI!$A$2:$A$7,,1)</f>
        <v>3</v>
      </c>
      <c r="K127" t="str">
        <f>_xlfn.XLOOKUP(C127,dim_BMI!$C$2:$C$7,dim_BMI!$B$2:$B$7,,1)</f>
        <v>25.0 to 29.9 (Overweight)</v>
      </c>
    </row>
    <row r="128" spans="1:11" x14ac:dyDescent="0.25">
      <c r="A128" s="1">
        <v>1040</v>
      </c>
      <c r="B128">
        <v>19</v>
      </c>
      <c r="C128">
        <v>27.265000000000001</v>
      </c>
      <c r="D128">
        <v>2</v>
      </c>
      <c r="E128">
        <f t="shared" si="1"/>
        <v>0</v>
      </c>
      <c r="F128">
        <v>22493.659640000002</v>
      </c>
      <c r="G128" t="s">
        <v>13</v>
      </c>
      <c r="H128" t="s">
        <v>11</v>
      </c>
      <c r="I128" t="s">
        <v>10</v>
      </c>
      <c r="J128">
        <f>_xlfn.XLOOKUP(C128,dim_BMI!$C$2:$C$7,dim_BMI!$A$2:$A$7,,1)</f>
        <v>3</v>
      </c>
      <c r="K128" t="str">
        <f>_xlfn.XLOOKUP(C128,dim_BMI!$C$2:$C$7,dim_BMI!$B$2:$B$7,,1)</f>
        <v>25.0 to 29.9 (Overweight)</v>
      </c>
    </row>
    <row r="129" spans="1:11" x14ac:dyDescent="0.25">
      <c r="A129" s="1">
        <v>1130</v>
      </c>
      <c r="B129">
        <v>19</v>
      </c>
      <c r="C129">
        <v>18.600000000000001</v>
      </c>
      <c r="D129">
        <v>0</v>
      </c>
      <c r="E129">
        <f t="shared" si="1"/>
        <v>0</v>
      </c>
      <c r="F129">
        <v>1728.8969999999999</v>
      </c>
      <c r="G129" t="s">
        <v>9</v>
      </c>
      <c r="H129" t="s">
        <v>11</v>
      </c>
      <c r="I129" t="s">
        <v>7</v>
      </c>
      <c r="J129">
        <f>_xlfn.XLOOKUP(C129,dim_BMI!$C$2:$C$7,dim_BMI!$A$2:$A$7,,1)</f>
        <v>2</v>
      </c>
      <c r="K129" t="str">
        <f>_xlfn.XLOOKUP(C129,dim_BMI!$C$2:$C$7,dim_BMI!$B$2:$B$7,,1)</f>
        <v>18.5 to 24.9 (Healthy Weight)</v>
      </c>
    </row>
    <row r="130" spans="1:11" x14ac:dyDescent="0.25">
      <c r="A130" s="1">
        <v>1140</v>
      </c>
      <c r="B130">
        <v>19</v>
      </c>
      <c r="C130">
        <v>32.49</v>
      </c>
      <c r="D130">
        <v>0</v>
      </c>
      <c r="E130">
        <f t="shared" si="1"/>
        <v>1</v>
      </c>
      <c r="F130">
        <v>36898.733079999998</v>
      </c>
      <c r="G130" t="s">
        <v>13</v>
      </c>
      <c r="H130" t="s">
        <v>8</v>
      </c>
      <c r="I130" t="s">
        <v>7</v>
      </c>
      <c r="J130">
        <f>_xlfn.XLOOKUP(C130,dim_BMI!$C$2:$C$7,dim_BMI!$A$2:$A$7,,1)</f>
        <v>4</v>
      </c>
      <c r="K130" t="str">
        <f>_xlfn.XLOOKUP(C130,dim_BMI!$C$2:$C$7,dim_BMI!$B$2:$B$7,,1)</f>
        <v>30.0 to 34.9 (Obesity Class 1)</v>
      </c>
    </row>
    <row r="131" spans="1:11" x14ac:dyDescent="0.25">
      <c r="A131" s="1">
        <v>1157</v>
      </c>
      <c r="B131">
        <v>19</v>
      </c>
      <c r="C131">
        <v>44.88</v>
      </c>
      <c r="D131">
        <v>0</v>
      </c>
      <c r="E131">
        <f t="shared" ref="E131:E194" si="2">IF(H131="yes",1,0)</f>
        <v>1</v>
      </c>
      <c r="F131">
        <v>39722.746200000001</v>
      </c>
      <c r="G131" t="s">
        <v>12</v>
      </c>
      <c r="H131" t="s">
        <v>8</v>
      </c>
      <c r="I131" t="s">
        <v>10</v>
      </c>
      <c r="J131">
        <f>_xlfn.XLOOKUP(C131,dim_BMI!$C$2:$C$7,dim_BMI!$A$2:$A$7,,1)</f>
        <v>6</v>
      </c>
      <c r="K131" t="str">
        <f>_xlfn.XLOOKUP(C131,dim_BMI!$C$2:$C$7,dim_BMI!$B$2:$B$7,,1)</f>
        <v>40 or higher (Severe Obesity Class 3)</v>
      </c>
    </row>
    <row r="132" spans="1:11" x14ac:dyDescent="0.25">
      <c r="A132" s="1">
        <v>1196</v>
      </c>
      <c r="B132">
        <v>19</v>
      </c>
      <c r="C132">
        <v>27.93</v>
      </c>
      <c r="D132">
        <v>3</v>
      </c>
      <c r="E132">
        <f t="shared" si="2"/>
        <v>0</v>
      </c>
      <c r="F132">
        <v>18838.703659999999</v>
      </c>
      <c r="G132" t="s">
        <v>13</v>
      </c>
      <c r="H132" t="s">
        <v>11</v>
      </c>
      <c r="I132" t="s">
        <v>7</v>
      </c>
      <c r="J132">
        <f>_xlfn.XLOOKUP(C132,dim_BMI!$C$2:$C$7,dim_BMI!$A$2:$A$7,,1)</f>
        <v>3</v>
      </c>
      <c r="K132" t="str">
        <f>_xlfn.XLOOKUP(C132,dim_BMI!$C$2:$C$7,dim_BMI!$B$2:$B$7,,1)</f>
        <v>25.0 to 29.9 (Overweight)</v>
      </c>
    </row>
    <row r="133" spans="1:11" x14ac:dyDescent="0.25">
      <c r="A133" s="1">
        <v>1197</v>
      </c>
      <c r="B133">
        <v>19</v>
      </c>
      <c r="C133">
        <v>30.02</v>
      </c>
      <c r="D133">
        <v>0</v>
      </c>
      <c r="E133">
        <f t="shared" si="2"/>
        <v>1</v>
      </c>
      <c r="F133">
        <v>33307.550799999997</v>
      </c>
      <c r="G133" t="s">
        <v>13</v>
      </c>
      <c r="H133" t="s">
        <v>8</v>
      </c>
      <c r="I133" t="s">
        <v>7</v>
      </c>
      <c r="J133">
        <f>_xlfn.XLOOKUP(C133,dim_BMI!$C$2:$C$7,dim_BMI!$A$2:$A$7,,1)</f>
        <v>4</v>
      </c>
      <c r="K133" t="str">
        <f>_xlfn.XLOOKUP(C133,dim_BMI!$C$2:$C$7,dim_BMI!$B$2:$B$7,,1)</f>
        <v>30.0 to 34.9 (Obesity Class 1)</v>
      </c>
    </row>
    <row r="134" spans="1:11" x14ac:dyDescent="0.25">
      <c r="A134" s="1">
        <v>1252</v>
      </c>
      <c r="B134">
        <v>19</v>
      </c>
      <c r="C134">
        <v>19.8</v>
      </c>
      <c r="D134">
        <v>0</v>
      </c>
      <c r="E134">
        <f t="shared" si="2"/>
        <v>0</v>
      </c>
      <c r="F134">
        <v>1241.5650000000001</v>
      </c>
      <c r="G134" t="s">
        <v>9</v>
      </c>
      <c r="H134" t="s">
        <v>11</v>
      </c>
      <c r="I134" t="s">
        <v>10</v>
      </c>
      <c r="J134">
        <f>_xlfn.XLOOKUP(C134,dim_BMI!$C$2:$C$7,dim_BMI!$A$2:$A$7,,1)</f>
        <v>2</v>
      </c>
      <c r="K134" t="str">
        <f>_xlfn.XLOOKUP(C134,dim_BMI!$C$2:$C$7,dim_BMI!$B$2:$B$7,,1)</f>
        <v>18.5 to 24.9 (Healthy Weight)</v>
      </c>
    </row>
    <row r="135" spans="1:11" x14ac:dyDescent="0.25">
      <c r="A135" s="1">
        <v>1292</v>
      </c>
      <c r="B135">
        <v>19</v>
      </c>
      <c r="C135">
        <v>34.9</v>
      </c>
      <c r="D135">
        <v>0</v>
      </c>
      <c r="E135">
        <f t="shared" si="2"/>
        <v>1</v>
      </c>
      <c r="F135">
        <v>34828.654000000002</v>
      </c>
      <c r="G135" t="s">
        <v>9</v>
      </c>
      <c r="H135" t="s">
        <v>8</v>
      </c>
      <c r="I135" t="s">
        <v>10</v>
      </c>
      <c r="J135">
        <f>_xlfn.XLOOKUP(C135,dim_BMI!$C$2:$C$7,dim_BMI!$A$2:$A$7,,1)</f>
        <v>4</v>
      </c>
      <c r="K135" t="str">
        <f>_xlfn.XLOOKUP(C135,dim_BMI!$C$2:$C$7,dim_BMI!$B$2:$B$7,,1)</f>
        <v>30.0 to 34.9 (Obesity Class 1)</v>
      </c>
    </row>
    <row r="136" spans="1:11" x14ac:dyDescent="0.25">
      <c r="A136" s="1">
        <v>1300</v>
      </c>
      <c r="B136">
        <v>19</v>
      </c>
      <c r="C136">
        <v>25.745000000000001</v>
      </c>
      <c r="D136">
        <v>1</v>
      </c>
      <c r="E136">
        <f t="shared" si="2"/>
        <v>0</v>
      </c>
      <c r="F136">
        <v>2710.8285500000002</v>
      </c>
      <c r="G136" t="s">
        <v>13</v>
      </c>
      <c r="H136" t="s">
        <v>11</v>
      </c>
      <c r="I136" t="s">
        <v>7</v>
      </c>
      <c r="J136">
        <f>_xlfn.XLOOKUP(C136,dim_BMI!$C$2:$C$7,dim_BMI!$A$2:$A$7,,1)</f>
        <v>3</v>
      </c>
      <c r="K136" t="str">
        <f>_xlfn.XLOOKUP(C136,dim_BMI!$C$2:$C$7,dim_BMI!$B$2:$B$7,,1)</f>
        <v>25.0 to 29.9 (Overweight)</v>
      </c>
    </row>
    <row r="137" spans="1:11" x14ac:dyDescent="0.25">
      <c r="A137" s="1">
        <v>1314</v>
      </c>
      <c r="B137">
        <v>19</v>
      </c>
      <c r="C137">
        <v>34.700000000000003</v>
      </c>
      <c r="D137">
        <v>2</v>
      </c>
      <c r="E137">
        <f t="shared" si="2"/>
        <v>1</v>
      </c>
      <c r="F137">
        <v>36397.576000000001</v>
      </c>
      <c r="G137" t="s">
        <v>9</v>
      </c>
      <c r="H137" t="s">
        <v>8</v>
      </c>
      <c r="I137" t="s">
        <v>7</v>
      </c>
      <c r="J137">
        <f>_xlfn.XLOOKUP(C137,dim_BMI!$C$2:$C$7,dim_BMI!$A$2:$A$7,,1)</f>
        <v>4</v>
      </c>
      <c r="K137" t="str">
        <f>_xlfn.XLOOKUP(C137,dim_BMI!$C$2:$C$7,dim_BMI!$B$2:$B$7,,1)</f>
        <v>30.0 to 34.9 (Obesity Class 1)</v>
      </c>
    </row>
    <row r="138" spans="1:11" x14ac:dyDescent="0.25">
      <c r="A138" s="1">
        <v>1317</v>
      </c>
      <c r="B138">
        <v>19</v>
      </c>
      <c r="C138">
        <v>20.6</v>
      </c>
      <c r="D138">
        <v>0</v>
      </c>
      <c r="E138">
        <f t="shared" si="2"/>
        <v>0</v>
      </c>
      <c r="F138">
        <v>1731.6769999999999</v>
      </c>
      <c r="G138" t="s">
        <v>9</v>
      </c>
      <c r="H138" t="s">
        <v>11</v>
      </c>
      <c r="I138" t="s">
        <v>7</v>
      </c>
      <c r="J138">
        <f>_xlfn.XLOOKUP(C138,dim_BMI!$C$2:$C$7,dim_BMI!$A$2:$A$7,,1)</f>
        <v>2</v>
      </c>
      <c r="K138" t="str">
        <f>_xlfn.XLOOKUP(C138,dim_BMI!$C$2:$C$7,dim_BMI!$B$2:$B$7,,1)</f>
        <v>18.5 to 24.9 (Healthy Weight)</v>
      </c>
    </row>
    <row r="139" spans="1:11" x14ac:dyDescent="0.25">
      <c r="A139" s="1">
        <v>65</v>
      </c>
      <c r="B139">
        <v>20</v>
      </c>
      <c r="C139">
        <v>22.42</v>
      </c>
      <c r="D139">
        <v>0</v>
      </c>
      <c r="E139">
        <f t="shared" si="2"/>
        <v>1</v>
      </c>
      <c r="F139">
        <v>14711.7438</v>
      </c>
      <c r="G139" t="s">
        <v>13</v>
      </c>
      <c r="H139" t="s">
        <v>8</v>
      </c>
      <c r="I139" t="s">
        <v>7</v>
      </c>
      <c r="J139">
        <f>_xlfn.XLOOKUP(C139,dim_BMI!$C$2:$C$7,dim_BMI!$A$2:$A$7,,1)</f>
        <v>2</v>
      </c>
      <c r="K139" t="str">
        <f>_xlfn.XLOOKUP(C139,dim_BMI!$C$2:$C$7,dim_BMI!$B$2:$B$7,,1)</f>
        <v>18.5 to 24.9 (Healthy Weight)</v>
      </c>
    </row>
    <row r="140" spans="1:11" x14ac:dyDescent="0.25">
      <c r="A140" s="1">
        <v>106</v>
      </c>
      <c r="B140">
        <v>20</v>
      </c>
      <c r="C140">
        <v>28.024999999999999</v>
      </c>
      <c r="D140">
        <v>1</v>
      </c>
      <c r="E140">
        <f t="shared" si="2"/>
        <v>1</v>
      </c>
      <c r="F140">
        <v>17560.37975</v>
      </c>
      <c r="G140" t="s">
        <v>13</v>
      </c>
      <c r="H140" t="s">
        <v>8</v>
      </c>
      <c r="I140" t="s">
        <v>10</v>
      </c>
      <c r="J140">
        <f>_xlfn.XLOOKUP(C140,dim_BMI!$C$2:$C$7,dim_BMI!$A$2:$A$7,,1)</f>
        <v>3</v>
      </c>
      <c r="K140" t="str">
        <f>_xlfn.XLOOKUP(C140,dim_BMI!$C$2:$C$7,dim_BMI!$B$2:$B$7,,1)</f>
        <v>25.0 to 29.9 (Overweight)</v>
      </c>
    </row>
    <row r="141" spans="1:11" x14ac:dyDescent="0.25">
      <c r="A141" s="1">
        <v>123</v>
      </c>
      <c r="B141">
        <v>20</v>
      </c>
      <c r="C141">
        <v>28.975000000000001</v>
      </c>
      <c r="D141">
        <v>0</v>
      </c>
      <c r="E141">
        <f t="shared" si="2"/>
        <v>0</v>
      </c>
      <c r="F141">
        <v>2257.47525</v>
      </c>
      <c r="G141" t="s">
        <v>13</v>
      </c>
      <c r="H141" t="s">
        <v>11</v>
      </c>
      <c r="I141" t="s">
        <v>7</v>
      </c>
      <c r="J141">
        <f>_xlfn.XLOOKUP(C141,dim_BMI!$C$2:$C$7,dim_BMI!$A$2:$A$7,,1)</f>
        <v>3</v>
      </c>
      <c r="K141" t="str">
        <f>_xlfn.XLOOKUP(C141,dim_BMI!$C$2:$C$7,dim_BMI!$B$2:$B$7,,1)</f>
        <v>25.0 to 29.9 (Overweight)</v>
      </c>
    </row>
    <row r="142" spans="1:11" x14ac:dyDescent="0.25">
      <c r="A142" s="1">
        <v>135</v>
      </c>
      <c r="B142">
        <v>20</v>
      </c>
      <c r="C142">
        <v>28.785</v>
      </c>
      <c r="D142">
        <v>0</v>
      </c>
      <c r="E142">
        <f t="shared" si="2"/>
        <v>0</v>
      </c>
      <c r="F142">
        <v>2457.2111500000001</v>
      </c>
      <c r="G142" t="s">
        <v>14</v>
      </c>
      <c r="H142" t="s">
        <v>11</v>
      </c>
      <c r="I142" t="s">
        <v>7</v>
      </c>
      <c r="J142">
        <f>_xlfn.XLOOKUP(C142,dim_BMI!$C$2:$C$7,dim_BMI!$A$2:$A$7,,1)</f>
        <v>3</v>
      </c>
      <c r="K142" t="str">
        <f>_xlfn.XLOOKUP(C142,dim_BMI!$C$2:$C$7,dim_BMI!$B$2:$B$7,,1)</f>
        <v>25.0 to 29.9 (Overweight)</v>
      </c>
    </row>
    <row r="143" spans="1:11" x14ac:dyDescent="0.25">
      <c r="A143" s="1">
        <v>167</v>
      </c>
      <c r="B143">
        <v>20</v>
      </c>
      <c r="C143">
        <v>37</v>
      </c>
      <c r="D143">
        <v>5</v>
      </c>
      <c r="E143">
        <f t="shared" si="2"/>
        <v>0</v>
      </c>
      <c r="F143">
        <v>4830.63</v>
      </c>
      <c r="G143" t="s">
        <v>9</v>
      </c>
      <c r="H143" t="s">
        <v>11</v>
      </c>
      <c r="I143" t="s">
        <v>7</v>
      </c>
      <c r="J143">
        <f>_xlfn.XLOOKUP(C143,dim_BMI!$C$2:$C$7,dim_BMI!$A$2:$A$7,,1)</f>
        <v>5</v>
      </c>
      <c r="K143" t="str">
        <f>_xlfn.XLOOKUP(C143,dim_BMI!$C$2:$C$7,dim_BMI!$B$2:$B$7,,1)</f>
        <v>35 to 39.9 (Obesity Class 2)</v>
      </c>
    </row>
    <row r="144" spans="1:11" x14ac:dyDescent="0.25">
      <c r="A144" s="1">
        <v>211</v>
      </c>
      <c r="B144">
        <v>20</v>
      </c>
      <c r="C144">
        <v>33</v>
      </c>
      <c r="D144">
        <v>1</v>
      </c>
      <c r="E144">
        <f t="shared" si="2"/>
        <v>0</v>
      </c>
      <c r="F144">
        <v>1980.07</v>
      </c>
      <c r="G144" t="s">
        <v>9</v>
      </c>
      <c r="H144" t="s">
        <v>11</v>
      </c>
      <c r="I144" t="s">
        <v>10</v>
      </c>
      <c r="J144">
        <f>_xlfn.XLOOKUP(C144,dim_BMI!$C$2:$C$7,dim_BMI!$A$2:$A$7,,1)</f>
        <v>4</v>
      </c>
      <c r="K144" t="str">
        <f>_xlfn.XLOOKUP(C144,dim_BMI!$C$2:$C$7,dim_BMI!$B$2:$B$7,,1)</f>
        <v>30.0 to 34.9 (Obesity Class 1)</v>
      </c>
    </row>
    <row r="145" spans="1:11" x14ac:dyDescent="0.25">
      <c r="A145" s="1">
        <v>262</v>
      </c>
      <c r="B145">
        <v>20</v>
      </c>
      <c r="C145">
        <v>26.84</v>
      </c>
      <c r="D145">
        <v>1</v>
      </c>
      <c r="E145">
        <f t="shared" si="2"/>
        <v>1</v>
      </c>
      <c r="F145">
        <v>17085.267599999999</v>
      </c>
      <c r="G145" t="s">
        <v>12</v>
      </c>
      <c r="H145" t="s">
        <v>8</v>
      </c>
      <c r="I145" t="s">
        <v>7</v>
      </c>
      <c r="J145">
        <f>_xlfn.XLOOKUP(C145,dim_BMI!$C$2:$C$7,dim_BMI!$A$2:$A$7,,1)</f>
        <v>3</v>
      </c>
      <c r="K145" t="str">
        <f>_xlfn.XLOOKUP(C145,dim_BMI!$C$2:$C$7,dim_BMI!$B$2:$B$7,,1)</f>
        <v>25.0 to 29.9 (Overweight)</v>
      </c>
    </row>
    <row r="146" spans="1:11" x14ac:dyDescent="0.25">
      <c r="A146" s="1">
        <v>375</v>
      </c>
      <c r="B146">
        <v>20</v>
      </c>
      <c r="C146">
        <v>33.33</v>
      </c>
      <c r="D146">
        <v>0</v>
      </c>
      <c r="E146">
        <f t="shared" si="2"/>
        <v>0</v>
      </c>
      <c r="F146">
        <v>1391.5287000000001</v>
      </c>
      <c r="G146" t="s">
        <v>12</v>
      </c>
      <c r="H146" t="s">
        <v>11</v>
      </c>
      <c r="I146" t="s">
        <v>10</v>
      </c>
      <c r="J146">
        <f>_xlfn.XLOOKUP(C146,dim_BMI!$C$2:$C$7,dim_BMI!$A$2:$A$7,,1)</f>
        <v>4</v>
      </c>
      <c r="K146" t="str">
        <f>_xlfn.XLOOKUP(C146,dim_BMI!$C$2:$C$7,dim_BMI!$B$2:$B$7,,1)</f>
        <v>30.0 to 34.9 (Obesity Class 1)</v>
      </c>
    </row>
    <row r="147" spans="1:11" x14ac:dyDescent="0.25">
      <c r="A147" s="1">
        <v>454</v>
      </c>
      <c r="B147">
        <v>20</v>
      </c>
      <c r="C147">
        <v>29.734999999999999</v>
      </c>
      <c r="D147">
        <v>0</v>
      </c>
      <c r="E147">
        <f t="shared" si="2"/>
        <v>0</v>
      </c>
      <c r="F147">
        <v>1769.5316499999999</v>
      </c>
      <c r="G147" t="s">
        <v>13</v>
      </c>
      <c r="H147" t="s">
        <v>11</v>
      </c>
      <c r="I147" t="s">
        <v>10</v>
      </c>
      <c r="J147">
        <f>_xlfn.XLOOKUP(C147,dim_BMI!$C$2:$C$7,dim_BMI!$A$2:$A$7,,1)</f>
        <v>3</v>
      </c>
      <c r="K147" t="str">
        <f>_xlfn.XLOOKUP(C147,dim_BMI!$C$2:$C$7,dim_BMI!$B$2:$B$7,,1)</f>
        <v>25.0 to 29.9 (Overweight)</v>
      </c>
    </row>
    <row r="148" spans="1:11" x14ac:dyDescent="0.25">
      <c r="A148" s="1">
        <v>496</v>
      </c>
      <c r="B148">
        <v>20</v>
      </c>
      <c r="C148">
        <v>27.93</v>
      </c>
      <c r="D148">
        <v>0</v>
      </c>
      <c r="E148">
        <f t="shared" si="2"/>
        <v>0</v>
      </c>
      <c r="F148">
        <v>1967.0227</v>
      </c>
      <c r="G148" t="s">
        <v>14</v>
      </c>
      <c r="H148" t="s">
        <v>11</v>
      </c>
      <c r="I148" t="s">
        <v>10</v>
      </c>
      <c r="J148">
        <f>_xlfn.XLOOKUP(C148,dim_BMI!$C$2:$C$7,dim_BMI!$A$2:$A$7,,1)</f>
        <v>3</v>
      </c>
      <c r="K148" t="str">
        <f>_xlfn.XLOOKUP(C148,dim_BMI!$C$2:$C$7,dim_BMI!$B$2:$B$7,,1)</f>
        <v>25.0 to 29.9 (Overweight)</v>
      </c>
    </row>
    <row r="149" spans="1:11" x14ac:dyDescent="0.25">
      <c r="A149" s="1">
        <v>517</v>
      </c>
      <c r="B149">
        <v>20</v>
      </c>
      <c r="C149">
        <v>35.31</v>
      </c>
      <c r="D149">
        <v>1</v>
      </c>
      <c r="E149">
        <f t="shared" si="2"/>
        <v>0</v>
      </c>
      <c r="F149">
        <v>27724.28875</v>
      </c>
      <c r="G149" t="s">
        <v>12</v>
      </c>
      <c r="H149" t="s">
        <v>11</v>
      </c>
      <c r="I149" t="s">
        <v>10</v>
      </c>
      <c r="J149">
        <f>_xlfn.XLOOKUP(C149,dim_BMI!$C$2:$C$7,dim_BMI!$A$2:$A$7,,1)</f>
        <v>5</v>
      </c>
      <c r="K149" t="str">
        <f>_xlfn.XLOOKUP(C149,dim_BMI!$C$2:$C$7,dim_BMI!$B$2:$B$7,,1)</f>
        <v>35 to 39.9 (Obesity Class 2)</v>
      </c>
    </row>
    <row r="150" spans="1:11" x14ac:dyDescent="0.25">
      <c r="A150" s="1">
        <v>542</v>
      </c>
      <c r="B150">
        <v>20</v>
      </c>
      <c r="C150">
        <v>31.79</v>
      </c>
      <c r="D150">
        <v>2</v>
      </c>
      <c r="E150">
        <f t="shared" si="2"/>
        <v>0</v>
      </c>
      <c r="F150">
        <v>3056.3881000000001</v>
      </c>
      <c r="G150" t="s">
        <v>12</v>
      </c>
      <c r="H150" t="s">
        <v>11</v>
      </c>
      <c r="I150" t="s">
        <v>7</v>
      </c>
      <c r="J150">
        <f>_xlfn.XLOOKUP(C150,dim_BMI!$C$2:$C$7,dim_BMI!$A$2:$A$7,,1)</f>
        <v>4</v>
      </c>
      <c r="K150" t="str">
        <f>_xlfn.XLOOKUP(C150,dim_BMI!$C$2:$C$7,dim_BMI!$B$2:$B$7,,1)</f>
        <v>30.0 to 34.9 (Obesity Class 1)</v>
      </c>
    </row>
    <row r="151" spans="1:11" x14ac:dyDescent="0.25">
      <c r="A151" s="1">
        <v>593</v>
      </c>
      <c r="B151">
        <v>20</v>
      </c>
      <c r="C151">
        <v>31.13</v>
      </c>
      <c r="D151">
        <v>2</v>
      </c>
      <c r="E151">
        <f t="shared" si="2"/>
        <v>0</v>
      </c>
      <c r="F151">
        <v>2566.4706999999999</v>
      </c>
      <c r="G151" t="s">
        <v>12</v>
      </c>
      <c r="H151" t="s">
        <v>11</v>
      </c>
      <c r="I151" t="s">
        <v>10</v>
      </c>
      <c r="J151">
        <f>_xlfn.XLOOKUP(C151,dim_BMI!$C$2:$C$7,dim_BMI!$A$2:$A$7,,1)</f>
        <v>4</v>
      </c>
      <c r="K151" t="str">
        <f>_xlfn.XLOOKUP(C151,dim_BMI!$C$2:$C$7,dim_BMI!$B$2:$B$7,,1)</f>
        <v>30.0 to 34.9 (Obesity Class 1)</v>
      </c>
    </row>
    <row r="152" spans="1:11" x14ac:dyDescent="0.25">
      <c r="A152" s="1">
        <v>615</v>
      </c>
      <c r="B152">
        <v>20</v>
      </c>
      <c r="C152">
        <v>33</v>
      </c>
      <c r="D152">
        <v>0</v>
      </c>
      <c r="E152">
        <f t="shared" si="2"/>
        <v>0</v>
      </c>
      <c r="F152">
        <v>1880.07</v>
      </c>
      <c r="G152" t="s">
        <v>12</v>
      </c>
      <c r="H152" t="s">
        <v>11</v>
      </c>
      <c r="I152" t="s">
        <v>7</v>
      </c>
      <c r="J152">
        <f>_xlfn.XLOOKUP(C152,dim_BMI!$C$2:$C$7,dim_BMI!$A$2:$A$7,,1)</f>
        <v>4</v>
      </c>
      <c r="K152" t="str">
        <f>_xlfn.XLOOKUP(C152,dim_BMI!$C$2:$C$7,dim_BMI!$B$2:$B$7,,1)</f>
        <v>30.0 to 34.9 (Obesity Class 1)</v>
      </c>
    </row>
    <row r="153" spans="1:11" x14ac:dyDescent="0.25">
      <c r="A153" s="1">
        <v>693</v>
      </c>
      <c r="B153">
        <v>20</v>
      </c>
      <c r="C153">
        <v>32.395000000000003</v>
      </c>
      <c r="D153">
        <v>1</v>
      </c>
      <c r="E153">
        <f t="shared" si="2"/>
        <v>0</v>
      </c>
      <c r="F153">
        <v>2362.2290499999999</v>
      </c>
      <c r="G153" t="s">
        <v>13</v>
      </c>
      <c r="H153" t="s">
        <v>11</v>
      </c>
      <c r="I153" t="s">
        <v>10</v>
      </c>
      <c r="J153">
        <f>_xlfn.XLOOKUP(C153,dim_BMI!$C$2:$C$7,dim_BMI!$A$2:$A$7,,1)</f>
        <v>4</v>
      </c>
      <c r="K153" t="str">
        <f>_xlfn.XLOOKUP(C153,dim_BMI!$C$2:$C$7,dim_BMI!$B$2:$B$7,,1)</f>
        <v>30.0 to 34.9 (Obesity Class 1)</v>
      </c>
    </row>
    <row r="154" spans="1:11" x14ac:dyDescent="0.25">
      <c r="A154" s="1">
        <v>714</v>
      </c>
      <c r="B154">
        <v>20</v>
      </c>
      <c r="C154">
        <v>40.47</v>
      </c>
      <c r="D154">
        <v>0</v>
      </c>
      <c r="E154">
        <f t="shared" si="2"/>
        <v>0</v>
      </c>
      <c r="F154">
        <v>1984.4532999999999</v>
      </c>
      <c r="G154" t="s">
        <v>14</v>
      </c>
      <c r="H154" t="s">
        <v>11</v>
      </c>
      <c r="I154" t="s">
        <v>10</v>
      </c>
      <c r="J154">
        <f>_xlfn.XLOOKUP(C154,dim_BMI!$C$2:$C$7,dim_BMI!$A$2:$A$7,,1)</f>
        <v>6</v>
      </c>
      <c r="K154" t="str">
        <f>_xlfn.XLOOKUP(C154,dim_BMI!$C$2:$C$7,dim_BMI!$B$2:$B$7,,1)</f>
        <v>40 or higher (Severe Obesity Class 3)</v>
      </c>
    </row>
    <row r="155" spans="1:11" x14ac:dyDescent="0.25">
      <c r="A155" s="1">
        <v>816</v>
      </c>
      <c r="B155">
        <v>20</v>
      </c>
      <c r="C155">
        <v>31.46</v>
      </c>
      <c r="D155">
        <v>0</v>
      </c>
      <c r="E155">
        <f t="shared" si="2"/>
        <v>0</v>
      </c>
      <c r="F155">
        <v>1877.9294</v>
      </c>
      <c r="G155" t="s">
        <v>12</v>
      </c>
      <c r="H155" t="s">
        <v>11</v>
      </c>
      <c r="I155" t="s">
        <v>7</v>
      </c>
      <c r="J155">
        <f>_xlfn.XLOOKUP(C155,dim_BMI!$C$2:$C$7,dim_BMI!$A$2:$A$7,,1)</f>
        <v>4</v>
      </c>
      <c r="K155" t="str">
        <f>_xlfn.XLOOKUP(C155,dim_BMI!$C$2:$C$7,dim_BMI!$B$2:$B$7,,1)</f>
        <v>30.0 to 34.9 (Obesity Class 1)</v>
      </c>
    </row>
    <row r="156" spans="1:11" x14ac:dyDescent="0.25">
      <c r="A156" s="1">
        <v>856</v>
      </c>
      <c r="B156">
        <v>20</v>
      </c>
      <c r="C156">
        <v>29.6</v>
      </c>
      <c r="D156">
        <v>0</v>
      </c>
      <c r="E156">
        <f t="shared" si="2"/>
        <v>0</v>
      </c>
      <c r="F156">
        <v>1875.3440000000001</v>
      </c>
      <c r="G156" t="s">
        <v>9</v>
      </c>
      <c r="H156" t="s">
        <v>11</v>
      </c>
      <c r="I156" t="s">
        <v>7</v>
      </c>
      <c r="J156">
        <f>_xlfn.XLOOKUP(C156,dim_BMI!$C$2:$C$7,dim_BMI!$A$2:$A$7,,1)</f>
        <v>3</v>
      </c>
      <c r="K156" t="str">
        <f>_xlfn.XLOOKUP(C156,dim_BMI!$C$2:$C$7,dim_BMI!$B$2:$B$7,,1)</f>
        <v>25.0 to 29.9 (Overweight)</v>
      </c>
    </row>
    <row r="157" spans="1:11" x14ac:dyDescent="0.25">
      <c r="A157" s="1">
        <v>985</v>
      </c>
      <c r="B157">
        <v>20</v>
      </c>
      <c r="C157">
        <v>30.114999999999998</v>
      </c>
      <c r="D157">
        <v>5</v>
      </c>
      <c r="E157">
        <f t="shared" si="2"/>
        <v>0</v>
      </c>
      <c r="F157">
        <v>4915.0598499999996</v>
      </c>
      <c r="G157" t="s">
        <v>14</v>
      </c>
      <c r="H157" t="s">
        <v>11</v>
      </c>
      <c r="I157" t="s">
        <v>10</v>
      </c>
      <c r="J157">
        <f>_xlfn.XLOOKUP(C157,dim_BMI!$C$2:$C$7,dim_BMI!$A$2:$A$7,,1)</f>
        <v>4</v>
      </c>
      <c r="K157" t="str">
        <f>_xlfn.XLOOKUP(C157,dim_BMI!$C$2:$C$7,dim_BMI!$B$2:$B$7,,1)</f>
        <v>30.0 to 34.9 (Obesity Class 1)</v>
      </c>
    </row>
    <row r="158" spans="1:11" x14ac:dyDescent="0.25">
      <c r="A158" s="1">
        <v>1043</v>
      </c>
      <c r="B158">
        <v>20</v>
      </c>
      <c r="C158">
        <v>30.684999999999999</v>
      </c>
      <c r="D158">
        <v>0</v>
      </c>
      <c r="E158">
        <f t="shared" si="2"/>
        <v>1</v>
      </c>
      <c r="F158">
        <v>33475.817150000003</v>
      </c>
      <c r="G158" t="s">
        <v>14</v>
      </c>
      <c r="H158" t="s">
        <v>8</v>
      </c>
      <c r="I158" t="s">
        <v>10</v>
      </c>
      <c r="J158">
        <f>_xlfn.XLOOKUP(C158,dim_BMI!$C$2:$C$7,dim_BMI!$A$2:$A$7,,1)</f>
        <v>4</v>
      </c>
      <c r="K158" t="str">
        <f>_xlfn.XLOOKUP(C158,dim_BMI!$C$2:$C$7,dim_BMI!$B$2:$B$7,,1)</f>
        <v>30.0 to 34.9 (Obesity Class 1)</v>
      </c>
    </row>
    <row r="159" spans="1:11" x14ac:dyDescent="0.25">
      <c r="A159" s="1">
        <v>1148</v>
      </c>
      <c r="B159">
        <v>20</v>
      </c>
      <c r="C159">
        <v>31.92</v>
      </c>
      <c r="D159">
        <v>0</v>
      </c>
      <c r="E159">
        <f t="shared" si="2"/>
        <v>0</v>
      </c>
      <c r="F159">
        <v>2261.5688</v>
      </c>
      <c r="G159" t="s">
        <v>13</v>
      </c>
      <c r="H159" t="s">
        <v>11</v>
      </c>
      <c r="I159" t="s">
        <v>7</v>
      </c>
      <c r="J159">
        <f>_xlfn.XLOOKUP(C159,dim_BMI!$C$2:$C$7,dim_BMI!$A$2:$A$7,,1)</f>
        <v>4</v>
      </c>
      <c r="K159" t="str">
        <f>_xlfn.XLOOKUP(C159,dim_BMI!$C$2:$C$7,dim_BMI!$B$2:$B$7,,1)</f>
        <v>30.0 to 34.9 (Obesity Class 1)</v>
      </c>
    </row>
    <row r="160" spans="1:11" x14ac:dyDescent="0.25">
      <c r="A160" s="1">
        <v>1159</v>
      </c>
      <c r="B160">
        <v>20</v>
      </c>
      <c r="C160">
        <v>30.59</v>
      </c>
      <c r="D160">
        <v>0</v>
      </c>
      <c r="E160">
        <f t="shared" si="2"/>
        <v>0</v>
      </c>
      <c r="F160">
        <v>2459.7201</v>
      </c>
      <c r="G160" t="s">
        <v>14</v>
      </c>
      <c r="H160" t="s">
        <v>11</v>
      </c>
      <c r="I160" t="s">
        <v>7</v>
      </c>
      <c r="J160">
        <f>_xlfn.XLOOKUP(C160,dim_BMI!$C$2:$C$7,dim_BMI!$A$2:$A$7,,1)</f>
        <v>4</v>
      </c>
      <c r="K160" t="str">
        <f>_xlfn.XLOOKUP(C160,dim_BMI!$C$2:$C$7,dim_BMI!$B$2:$B$7,,1)</f>
        <v>30.0 to 34.9 (Obesity Class 1)</v>
      </c>
    </row>
    <row r="161" spans="1:11" x14ac:dyDescent="0.25">
      <c r="A161" s="1">
        <v>1187</v>
      </c>
      <c r="B161">
        <v>20</v>
      </c>
      <c r="C161">
        <v>35.625</v>
      </c>
      <c r="D161">
        <v>3</v>
      </c>
      <c r="E161">
        <f t="shared" si="2"/>
        <v>1</v>
      </c>
      <c r="F161">
        <v>37465.34375</v>
      </c>
      <c r="G161" t="s">
        <v>13</v>
      </c>
      <c r="H161" t="s">
        <v>8</v>
      </c>
      <c r="I161" t="s">
        <v>10</v>
      </c>
      <c r="J161">
        <f>_xlfn.XLOOKUP(C161,dim_BMI!$C$2:$C$7,dim_BMI!$A$2:$A$7,,1)</f>
        <v>5</v>
      </c>
      <c r="K161" t="str">
        <f>_xlfn.XLOOKUP(C161,dim_BMI!$C$2:$C$7,dim_BMI!$B$2:$B$7,,1)</f>
        <v>35 to 39.9 (Obesity Class 2)</v>
      </c>
    </row>
    <row r="162" spans="1:11" x14ac:dyDescent="0.25">
      <c r="A162" s="1">
        <v>1224</v>
      </c>
      <c r="B162">
        <v>20</v>
      </c>
      <c r="C162">
        <v>24.42</v>
      </c>
      <c r="D162">
        <v>0</v>
      </c>
      <c r="E162">
        <f t="shared" si="2"/>
        <v>1</v>
      </c>
      <c r="F162">
        <v>26125.674770000001</v>
      </c>
      <c r="G162" t="s">
        <v>12</v>
      </c>
      <c r="H162" t="s">
        <v>8</v>
      </c>
      <c r="I162" t="s">
        <v>7</v>
      </c>
      <c r="J162">
        <f>_xlfn.XLOOKUP(C162,dim_BMI!$C$2:$C$7,dim_BMI!$A$2:$A$7,,1)</f>
        <v>2</v>
      </c>
      <c r="K162" t="str">
        <f>_xlfn.XLOOKUP(C162,dim_BMI!$C$2:$C$7,dim_BMI!$B$2:$B$7,,1)</f>
        <v>18.5 to 24.9 (Healthy Weight)</v>
      </c>
    </row>
    <row r="163" spans="1:11" x14ac:dyDescent="0.25">
      <c r="A163" s="1">
        <v>1232</v>
      </c>
      <c r="B163">
        <v>20</v>
      </c>
      <c r="C163">
        <v>21.8</v>
      </c>
      <c r="D163">
        <v>0</v>
      </c>
      <c r="E163">
        <f t="shared" si="2"/>
        <v>1</v>
      </c>
      <c r="F163">
        <v>20167.336029999999</v>
      </c>
      <c r="G163" t="s">
        <v>9</v>
      </c>
      <c r="H163" t="s">
        <v>8</v>
      </c>
      <c r="I163" t="s">
        <v>7</v>
      </c>
      <c r="J163">
        <f>_xlfn.XLOOKUP(C163,dim_BMI!$C$2:$C$7,dim_BMI!$A$2:$A$7,,1)</f>
        <v>2</v>
      </c>
      <c r="K163" t="str">
        <f>_xlfn.XLOOKUP(C163,dim_BMI!$C$2:$C$7,dim_BMI!$B$2:$B$7,,1)</f>
        <v>18.5 to 24.9 (Healthy Weight)</v>
      </c>
    </row>
    <row r="164" spans="1:11" x14ac:dyDescent="0.25">
      <c r="A164" s="1">
        <v>1253</v>
      </c>
      <c r="B164">
        <v>20</v>
      </c>
      <c r="C164">
        <v>27.3</v>
      </c>
      <c r="D164">
        <v>0</v>
      </c>
      <c r="E164">
        <f t="shared" si="2"/>
        <v>1</v>
      </c>
      <c r="F164">
        <v>16232.847</v>
      </c>
      <c r="G164" t="s">
        <v>9</v>
      </c>
      <c r="H164" t="s">
        <v>8</v>
      </c>
      <c r="I164" t="s">
        <v>10</v>
      </c>
      <c r="J164">
        <f>_xlfn.XLOOKUP(C164,dim_BMI!$C$2:$C$7,dim_BMI!$A$2:$A$7,,1)</f>
        <v>3</v>
      </c>
      <c r="K164" t="str">
        <f>_xlfn.XLOOKUP(C164,dim_BMI!$C$2:$C$7,dim_BMI!$B$2:$B$7,,1)</f>
        <v>25.0 to 29.9 (Overweight)</v>
      </c>
    </row>
    <row r="165" spans="1:11" x14ac:dyDescent="0.25">
      <c r="A165" s="1">
        <v>1269</v>
      </c>
      <c r="B165">
        <v>20</v>
      </c>
      <c r="C165">
        <v>33.299999999999997</v>
      </c>
      <c r="D165">
        <v>0</v>
      </c>
      <c r="E165">
        <f t="shared" si="2"/>
        <v>0</v>
      </c>
      <c r="F165">
        <v>1880.4870000000001</v>
      </c>
      <c r="G165" t="s">
        <v>9</v>
      </c>
      <c r="H165" t="s">
        <v>11</v>
      </c>
      <c r="I165" t="s">
        <v>7</v>
      </c>
      <c r="J165">
        <f>_xlfn.XLOOKUP(C165,dim_BMI!$C$2:$C$7,dim_BMI!$A$2:$A$7,,1)</f>
        <v>4</v>
      </c>
      <c r="K165" t="str">
        <f>_xlfn.XLOOKUP(C165,dim_BMI!$C$2:$C$7,dim_BMI!$B$2:$B$7,,1)</f>
        <v>30.0 to 34.9 (Obesity Class 1)</v>
      </c>
    </row>
    <row r="166" spans="1:11" x14ac:dyDescent="0.25">
      <c r="A166" s="1">
        <v>1289</v>
      </c>
      <c r="B166">
        <v>20</v>
      </c>
      <c r="C166">
        <v>39.4</v>
      </c>
      <c r="D166">
        <v>2</v>
      </c>
      <c r="E166">
        <f t="shared" si="2"/>
        <v>1</v>
      </c>
      <c r="F166">
        <v>38344.565999999999</v>
      </c>
      <c r="G166" t="s">
        <v>9</v>
      </c>
      <c r="H166" t="s">
        <v>8</v>
      </c>
      <c r="I166" t="s">
        <v>10</v>
      </c>
      <c r="J166">
        <f>_xlfn.XLOOKUP(C166,dim_BMI!$C$2:$C$7,dim_BMI!$A$2:$A$7,,1)</f>
        <v>5</v>
      </c>
      <c r="K166" t="str">
        <f>_xlfn.XLOOKUP(C166,dim_BMI!$C$2:$C$7,dim_BMI!$B$2:$B$7,,1)</f>
        <v>35 to 39.9 (Obesity Class 2)</v>
      </c>
    </row>
    <row r="167" spans="1:11" x14ac:dyDescent="0.25">
      <c r="A167" s="1">
        <v>1296</v>
      </c>
      <c r="B167">
        <v>20</v>
      </c>
      <c r="C167">
        <v>22</v>
      </c>
      <c r="D167">
        <v>1</v>
      </c>
      <c r="E167">
        <f t="shared" si="2"/>
        <v>0</v>
      </c>
      <c r="F167">
        <v>1964.78</v>
      </c>
      <c r="G167" t="s">
        <v>9</v>
      </c>
      <c r="H167" t="s">
        <v>11</v>
      </c>
      <c r="I167" t="s">
        <v>10</v>
      </c>
      <c r="J167">
        <f>_xlfn.XLOOKUP(C167,dim_BMI!$C$2:$C$7,dim_BMI!$A$2:$A$7,,1)</f>
        <v>2</v>
      </c>
      <c r="K167" t="str">
        <f>_xlfn.XLOOKUP(C167,dim_BMI!$C$2:$C$7,dim_BMI!$B$2:$B$7,,1)</f>
        <v>18.5 to 24.9 (Healthy Weight)</v>
      </c>
    </row>
    <row r="168" spans="1:11" x14ac:dyDescent="0.25">
      <c r="A168" s="1">
        <v>52</v>
      </c>
      <c r="B168">
        <v>21</v>
      </c>
      <c r="C168">
        <v>33.630000000000003</v>
      </c>
      <c r="D168">
        <v>2</v>
      </c>
      <c r="E168">
        <f t="shared" si="2"/>
        <v>0</v>
      </c>
      <c r="F168">
        <v>3579.8287</v>
      </c>
      <c r="G168" t="s">
        <v>13</v>
      </c>
      <c r="H168" t="s">
        <v>11</v>
      </c>
      <c r="I168" t="s">
        <v>7</v>
      </c>
      <c r="J168">
        <f>_xlfn.XLOOKUP(C168,dim_BMI!$C$2:$C$7,dim_BMI!$A$2:$A$7,,1)</f>
        <v>4</v>
      </c>
      <c r="K168" t="str">
        <f>_xlfn.XLOOKUP(C168,dim_BMI!$C$2:$C$7,dim_BMI!$B$2:$B$7,,1)</f>
        <v>30.0 to 34.9 (Obesity Class 1)</v>
      </c>
    </row>
    <row r="169" spans="1:11" x14ac:dyDescent="0.25">
      <c r="A169" s="1">
        <v>78</v>
      </c>
      <c r="B169">
        <v>21</v>
      </c>
      <c r="C169">
        <v>35.53</v>
      </c>
      <c r="D169">
        <v>0</v>
      </c>
      <c r="E169">
        <f t="shared" si="2"/>
        <v>0</v>
      </c>
      <c r="F169">
        <v>1532.4697000000001</v>
      </c>
      <c r="G169" t="s">
        <v>12</v>
      </c>
      <c r="H169" t="s">
        <v>11</v>
      </c>
      <c r="I169" t="s">
        <v>10</v>
      </c>
      <c r="J169">
        <f>_xlfn.XLOOKUP(C169,dim_BMI!$C$2:$C$7,dim_BMI!$A$2:$A$7,,1)</f>
        <v>5</v>
      </c>
      <c r="K169" t="str">
        <f>_xlfn.XLOOKUP(C169,dim_BMI!$C$2:$C$7,dim_BMI!$B$2:$B$7,,1)</f>
        <v>35 to 39.9 (Obesity Class 2)</v>
      </c>
    </row>
    <row r="170" spans="1:11" x14ac:dyDescent="0.25">
      <c r="A170" s="1">
        <v>91</v>
      </c>
      <c r="B170">
        <v>21</v>
      </c>
      <c r="C170">
        <v>39.49</v>
      </c>
      <c r="D170">
        <v>0</v>
      </c>
      <c r="E170">
        <f t="shared" si="2"/>
        <v>0</v>
      </c>
      <c r="F170">
        <v>2026.9740999999999</v>
      </c>
      <c r="G170" t="s">
        <v>12</v>
      </c>
      <c r="H170" t="s">
        <v>11</v>
      </c>
      <c r="I170" t="s">
        <v>7</v>
      </c>
      <c r="J170">
        <f>_xlfn.XLOOKUP(C170,dim_BMI!$C$2:$C$7,dim_BMI!$A$2:$A$7,,1)</f>
        <v>5</v>
      </c>
      <c r="K170" t="str">
        <f>_xlfn.XLOOKUP(C170,dim_BMI!$C$2:$C$7,dim_BMI!$B$2:$B$7,,1)</f>
        <v>35 to 39.9 (Obesity Class 2)</v>
      </c>
    </row>
    <row r="171" spans="1:11" x14ac:dyDescent="0.25">
      <c r="A171" s="1">
        <v>114</v>
      </c>
      <c r="B171">
        <v>21</v>
      </c>
      <c r="C171">
        <v>35.72</v>
      </c>
      <c r="D171">
        <v>0</v>
      </c>
      <c r="E171">
        <f t="shared" si="2"/>
        <v>0</v>
      </c>
      <c r="F171">
        <v>2404.7338</v>
      </c>
      <c r="G171" t="s">
        <v>13</v>
      </c>
      <c r="H171" t="s">
        <v>11</v>
      </c>
      <c r="I171" t="s">
        <v>7</v>
      </c>
      <c r="J171">
        <f>_xlfn.XLOOKUP(C171,dim_BMI!$C$2:$C$7,dim_BMI!$A$2:$A$7,,1)</f>
        <v>5</v>
      </c>
      <c r="K171" t="str">
        <f>_xlfn.XLOOKUP(C171,dim_BMI!$C$2:$C$7,dim_BMI!$B$2:$B$7,,1)</f>
        <v>35 to 39.9 (Obesity Class 2)</v>
      </c>
    </row>
    <row r="172" spans="1:11" x14ac:dyDescent="0.25">
      <c r="A172" s="1">
        <v>364</v>
      </c>
      <c r="B172">
        <v>21</v>
      </c>
      <c r="C172">
        <v>26.4</v>
      </c>
      <c r="D172">
        <v>1</v>
      </c>
      <c r="E172">
        <f t="shared" si="2"/>
        <v>0</v>
      </c>
      <c r="F172">
        <v>2597.779</v>
      </c>
      <c r="G172" t="s">
        <v>9</v>
      </c>
      <c r="H172" t="s">
        <v>11</v>
      </c>
      <c r="I172" t="s">
        <v>7</v>
      </c>
      <c r="J172">
        <f>_xlfn.XLOOKUP(C172,dim_BMI!$C$2:$C$7,dim_BMI!$A$2:$A$7,,1)</f>
        <v>3</v>
      </c>
      <c r="K172" t="str">
        <f>_xlfn.XLOOKUP(C172,dim_BMI!$C$2:$C$7,dim_BMI!$B$2:$B$7,,1)</f>
        <v>25.0 to 29.9 (Overweight)</v>
      </c>
    </row>
    <row r="173" spans="1:11" x14ac:dyDescent="0.25">
      <c r="A173" s="1">
        <v>365</v>
      </c>
      <c r="B173">
        <v>21</v>
      </c>
      <c r="C173">
        <v>21.89</v>
      </c>
      <c r="D173">
        <v>2</v>
      </c>
      <c r="E173">
        <f t="shared" si="2"/>
        <v>0</v>
      </c>
      <c r="F173">
        <v>3180.5101</v>
      </c>
      <c r="G173" t="s">
        <v>12</v>
      </c>
      <c r="H173" t="s">
        <v>11</v>
      </c>
      <c r="I173" t="s">
        <v>7</v>
      </c>
      <c r="J173">
        <f>_xlfn.XLOOKUP(C173,dim_BMI!$C$2:$C$7,dim_BMI!$A$2:$A$7,,1)</f>
        <v>2</v>
      </c>
      <c r="K173" t="str">
        <f>_xlfn.XLOOKUP(C173,dim_BMI!$C$2:$C$7,dim_BMI!$B$2:$B$7,,1)</f>
        <v>18.5 to 24.9 (Healthy Weight)</v>
      </c>
    </row>
    <row r="174" spans="1:11" x14ac:dyDescent="0.25">
      <c r="A174" s="1">
        <v>398</v>
      </c>
      <c r="B174">
        <v>21</v>
      </c>
      <c r="C174">
        <v>31.02</v>
      </c>
      <c r="D174">
        <v>0</v>
      </c>
      <c r="E174">
        <f t="shared" si="2"/>
        <v>0</v>
      </c>
      <c r="F174">
        <v>16586.49771</v>
      </c>
      <c r="G174" t="s">
        <v>12</v>
      </c>
      <c r="H174" t="s">
        <v>11</v>
      </c>
      <c r="I174" t="s">
        <v>10</v>
      </c>
      <c r="J174">
        <f>_xlfn.XLOOKUP(C174,dim_BMI!$C$2:$C$7,dim_BMI!$A$2:$A$7,,1)</f>
        <v>4</v>
      </c>
      <c r="K174" t="str">
        <f>_xlfn.XLOOKUP(C174,dim_BMI!$C$2:$C$7,dim_BMI!$B$2:$B$7,,1)</f>
        <v>30.0 to 34.9 (Obesity Class 1)</v>
      </c>
    </row>
    <row r="175" spans="1:11" x14ac:dyDescent="0.25">
      <c r="A175" s="1">
        <v>429</v>
      </c>
      <c r="B175">
        <v>21</v>
      </c>
      <c r="C175">
        <v>16.815000000000001</v>
      </c>
      <c r="D175">
        <v>1</v>
      </c>
      <c r="E175">
        <f t="shared" si="2"/>
        <v>0</v>
      </c>
      <c r="F175">
        <v>3167.4558499999998</v>
      </c>
      <c r="G175" t="s">
        <v>14</v>
      </c>
      <c r="H175" t="s">
        <v>11</v>
      </c>
      <c r="I175" t="s">
        <v>7</v>
      </c>
      <c r="J175">
        <f>_xlfn.XLOOKUP(C175,dim_BMI!$C$2:$C$7,dim_BMI!$A$2:$A$7,,1)</f>
        <v>1</v>
      </c>
      <c r="K175" t="str">
        <f>_xlfn.XLOOKUP(C175,dim_BMI!$C$2:$C$7,dim_BMI!$B$2:$B$7,,1)</f>
        <v>18.49 or less (Underweight)</v>
      </c>
    </row>
    <row r="176" spans="1:11" x14ac:dyDescent="0.25">
      <c r="A176" s="1">
        <v>479</v>
      </c>
      <c r="B176">
        <v>21</v>
      </c>
      <c r="C176">
        <v>36.85</v>
      </c>
      <c r="D176">
        <v>0</v>
      </c>
      <c r="E176">
        <f t="shared" si="2"/>
        <v>0</v>
      </c>
      <c r="F176">
        <v>1534.3045</v>
      </c>
      <c r="G176" t="s">
        <v>12</v>
      </c>
      <c r="H176" t="s">
        <v>11</v>
      </c>
      <c r="I176" t="s">
        <v>10</v>
      </c>
      <c r="J176">
        <f>_xlfn.XLOOKUP(C176,dim_BMI!$C$2:$C$7,dim_BMI!$A$2:$A$7,,1)</f>
        <v>5</v>
      </c>
      <c r="K176" t="str">
        <f>_xlfn.XLOOKUP(C176,dim_BMI!$C$2:$C$7,dim_BMI!$B$2:$B$7,,1)</f>
        <v>35 to 39.9 (Obesity Class 2)</v>
      </c>
    </row>
    <row r="177" spans="1:11" x14ac:dyDescent="0.25">
      <c r="A177" s="1">
        <v>495</v>
      </c>
      <c r="B177">
        <v>21</v>
      </c>
      <c r="C177">
        <v>25.7</v>
      </c>
      <c r="D177">
        <v>4</v>
      </c>
      <c r="E177">
        <f t="shared" si="2"/>
        <v>1</v>
      </c>
      <c r="F177">
        <v>17942.106</v>
      </c>
      <c r="G177" t="s">
        <v>9</v>
      </c>
      <c r="H177" t="s">
        <v>8</v>
      </c>
      <c r="I177" t="s">
        <v>10</v>
      </c>
      <c r="J177">
        <f>_xlfn.XLOOKUP(C177,dim_BMI!$C$2:$C$7,dim_BMI!$A$2:$A$7,,1)</f>
        <v>3</v>
      </c>
      <c r="K177" t="str">
        <f>_xlfn.XLOOKUP(C177,dim_BMI!$C$2:$C$7,dim_BMI!$B$2:$B$7,,1)</f>
        <v>25.0 to 29.9 (Overweight)</v>
      </c>
    </row>
    <row r="178" spans="1:11" x14ac:dyDescent="0.25">
      <c r="A178" s="1">
        <v>508</v>
      </c>
      <c r="B178">
        <v>21</v>
      </c>
      <c r="C178">
        <v>23.75</v>
      </c>
      <c r="D178">
        <v>2</v>
      </c>
      <c r="E178">
        <f t="shared" si="2"/>
        <v>0</v>
      </c>
      <c r="F178">
        <v>3077.0954999999999</v>
      </c>
      <c r="G178" t="s">
        <v>13</v>
      </c>
      <c r="H178" t="s">
        <v>11</v>
      </c>
      <c r="I178" t="s">
        <v>10</v>
      </c>
      <c r="J178">
        <f>_xlfn.XLOOKUP(C178,dim_BMI!$C$2:$C$7,dim_BMI!$A$2:$A$7,,1)</f>
        <v>2</v>
      </c>
      <c r="K178" t="str">
        <f>_xlfn.XLOOKUP(C178,dim_BMI!$C$2:$C$7,dim_BMI!$B$2:$B$7,,1)</f>
        <v>18.5 to 24.9 (Healthy Weight)</v>
      </c>
    </row>
    <row r="179" spans="1:11" x14ac:dyDescent="0.25">
      <c r="A179" s="1">
        <v>587</v>
      </c>
      <c r="B179">
        <v>21</v>
      </c>
      <c r="C179">
        <v>20.234999999999999</v>
      </c>
      <c r="D179">
        <v>3</v>
      </c>
      <c r="E179">
        <f t="shared" si="2"/>
        <v>0</v>
      </c>
      <c r="F179">
        <v>3861.2096499999998</v>
      </c>
      <c r="G179" t="s">
        <v>14</v>
      </c>
      <c r="H179" t="s">
        <v>11</v>
      </c>
      <c r="I179" t="s">
        <v>10</v>
      </c>
      <c r="J179">
        <f>_xlfn.XLOOKUP(C179,dim_BMI!$C$2:$C$7,dim_BMI!$A$2:$A$7,,1)</f>
        <v>2</v>
      </c>
      <c r="K179" t="str">
        <f>_xlfn.XLOOKUP(C179,dim_BMI!$C$2:$C$7,dim_BMI!$B$2:$B$7,,1)</f>
        <v>18.5 to 24.9 (Healthy Weight)</v>
      </c>
    </row>
    <row r="180" spans="1:11" x14ac:dyDescent="0.25">
      <c r="A180" s="1">
        <v>594</v>
      </c>
      <c r="B180">
        <v>21</v>
      </c>
      <c r="C180">
        <v>21.85</v>
      </c>
      <c r="D180">
        <v>1</v>
      </c>
      <c r="E180">
        <f t="shared" si="2"/>
        <v>1</v>
      </c>
      <c r="F180">
        <v>15359.104499999999</v>
      </c>
      <c r="G180" t="s">
        <v>14</v>
      </c>
      <c r="H180" t="s">
        <v>8</v>
      </c>
      <c r="I180" t="s">
        <v>7</v>
      </c>
      <c r="J180">
        <f>_xlfn.XLOOKUP(C180,dim_BMI!$C$2:$C$7,dim_BMI!$A$2:$A$7,,1)</f>
        <v>2</v>
      </c>
      <c r="K180" t="str">
        <f>_xlfn.XLOOKUP(C180,dim_BMI!$C$2:$C$7,dim_BMI!$B$2:$B$7,,1)</f>
        <v>18.5 to 24.9 (Healthy Weight)</v>
      </c>
    </row>
    <row r="181" spans="1:11" x14ac:dyDescent="0.25">
      <c r="A181" s="1">
        <v>681</v>
      </c>
      <c r="B181">
        <v>21</v>
      </c>
      <c r="C181">
        <v>17.399999999999999</v>
      </c>
      <c r="D181">
        <v>1</v>
      </c>
      <c r="E181">
        <f t="shared" si="2"/>
        <v>0</v>
      </c>
      <c r="F181">
        <v>2585.2689999999998</v>
      </c>
      <c r="G181" t="s">
        <v>9</v>
      </c>
      <c r="H181" t="s">
        <v>11</v>
      </c>
      <c r="I181" t="s">
        <v>7</v>
      </c>
      <c r="J181">
        <f>_xlfn.XLOOKUP(C181,dim_BMI!$C$2:$C$7,dim_BMI!$A$2:$A$7,,1)</f>
        <v>1</v>
      </c>
      <c r="K181" t="str">
        <f>_xlfn.XLOOKUP(C181,dim_BMI!$C$2:$C$7,dim_BMI!$B$2:$B$7,,1)</f>
        <v>18.49 or less (Underweight)</v>
      </c>
    </row>
    <row r="182" spans="1:11" x14ac:dyDescent="0.25">
      <c r="A182" s="1">
        <v>691</v>
      </c>
      <c r="B182">
        <v>21</v>
      </c>
      <c r="C182">
        <v>27.36</v>
      </c>
      <c r="D182">
        <v>0</v>
      </c>
      <c r="E182">
        <f t="shared" si="2"/>
        <v>0</v>
      </c>
      <c r="F182">
        <v>2104.1134000000002</v>
      </c>
      <c r="G182" t="s">
        <v>14</v>
      </c>
      <c r="H182" t="s">
        <v>11</v>
      </c>
      <c r="I182" t="s">
        <v>10</v>
      </c>
      <c r="J182">
        <f>_xlfn.XLOOKUP(C182,dim_BMI!$C$2:$C$7,dim_BMI!$A$2:$A$7,,1)</f>
        <v>3</v>
      </c>
      <c r="K182" t="str">
        <f>_xlfn.XLOOKUP(C182,dim_BMI!$C$2:$C$7,dim_BMI!$B$2:$B$7,,1)</f>
        <v>25.0 to 29.9 (Overweight)</v>
      </c>
    </row>
    <row r="183" spans="1:11" x14ac:dyDescent="0.25">
      <c r="A183" s="1">
        <v>701</v>
      </c>
      <c r="B183">
        <v>21</v>
      </c>
      <c r="C183">
        <v>34.869999999999997</v>
      </c>
      <c r="D183">
        <v>0</v>
      </c>
      <c r="E183">
        <f t="shared" si="2"/>
        <v>0</v>
      </c>
      <c r="F183">
        <v>2020.5523000000001</v>
      </c>
      <c r="G183" t="s">
        <v>12</v>
      </c>
      <c r="H183" t="s">
        <v>11</v>
      </c>
      <c r="I183" t="s">
        <v>7</v>
      </c>
      <c r="J183">
        <f>_xlfn.XLOOKUP(C183,dim_BMI!$C$2:$C$7,dim_BMI!$A$2:$A$7,,1)</f>
        <v>4</v>
      </c>
      <c r="K183" t="str">
        <f>_xlfn.XLOOKUP(C183,dim_BMI!$C$2:$C$7,dim_BMI!$B$2:$B$7,,1)</f>
        <v>30.0 to 34.9 (Obesity Class 1)</v>
      </c>
    </row>
    <row r="184" spans="1:11" x14ac:dyDescent="0.25">
      <c r="A184" s="1">
        <v>752</v>
      </c>
      <c r="B184">
        <v>21</v>
      </c>
      <c r="C184">
        <v>28.975000000000001</v>
      </c>
      <c r="D184">
        <v>0</v>
      </c>
      <c r="E184">
        <f t="shared" si="2"/>
        <v>0</v>
      </c>
      <c r="F184">
        <v>1906.35825</v>
      </c>
      <c r="G184" t="s">
        <v>13</v>
      </c>
      <c r="H184" t="s">
        <v>11</v>
      </c>
      <c r="I184" t="s">
        <v>10</v>
      </c>
      <c r="J184">
        <f>_xlfn.XLOOKUP(C184,dim_BMI!$C$2:$C$7,dim_BMI!$A$2:$A$7,,1)</f>
        <v>3</v>
      </c>
      <c r="K184" t="str">
        <f>_xlfn.XLOOKUP(C184,dim_BMI!$C$2:$C$7,dim_BMI!$B$2:$B$7,,1)</f>
        <v>25.0 to 29.9 (Overweight)</v>
      </c>
    </row>
    <row r="185" spans="1:11" x14ac:dyDescent="0.25">
      <c r="A185" s="1">
        <v>788</v>
      </c>
      <c r="B185">
        <v>21</v>
      </c>
      <c r="C185">
        <v>36.86</v>
      </c>
      <c r="D185">
        <v>0</v>
      </c>
      <c r="E185">
        <f t="shared" si="2"/>
        <v>0</v>
      </c>
      <c r="F185">
        <v>1917.3184000000001</v>
      </c>
      <c r="G185" t="s">
        <v>13</v>
      </c>
      <c r="H185" t="s">
        <v>11</v>
      </c>
      <c r="I185" t="s">
        <v>10</v>
      </c>
      <c r="J185">
        <f>_xlfn.XLOOKUP(C185,dim_BMI!$C$2:$C$7,dim_BMI!$A$2:$A$7,,1)</f>
        <v>5</v>
      </c>
      <c r="K185" t="str">
        <f>_xlfn.XLOOKUP(C185,dim_BMI!$C$2:$C$7,dim_BMI!$B$2:$B$7,,1)</f>
        <v>35 to 39.9 (Obesity Class 2)</v>
      </c>
    </row>
    <row r="186" spans="1:11" x14ac:dyDescent="0.25">
      <c r="A186" s="1">
        <v>803</v>
      </c>
      <c r="B186">
        <v>21</v>
      </c>
      <c r="C186">
        <v>22.3</v>
      </c>
      <c r="D186">
        <v>1</v>
      </c>
      <c r="E186">
        <f t="shared" si="2"/>
        <v>0</v>
      </c>
      <c r="F186">
        <v>2103.08</v>
      </c>
      <c r="G186" t="s">
        <v>9</v>
      </c>
      <c r="H186" t="s">
        <v>11</v>
      </c>
      <c r="I186" t="s">
        <v>10</v>
      </c>
      <c r="J186">
        <f>_xlfn.XLOOKUP(C186,dim_BMI!$C$2:$C$7,dim_BMI!$A$2:$A$7,,1)</f>
        <v>2</v>
      </c>
      <c r="K186" t="str">
        <f>_xlfn.XLOOKUP(C186,dim_BMI!$C$2:$C$7,dim_BMI!$B$2:$B$7,,1)</f>
        <v>18.5 to 24.9 (Healthy Weight)</v>
      </c>
    </row>
    <row r="187" spans="1:11" x14ac:dyDescent="0.25">
      <c r="A187" s="1">
        <v>841</v>
      </c>
      <c r="B187">
        <v>21</v>
      </c>
      <c r="C187">
        <v>31.1</v>
      </c>
      <c r="D187">
        <v>0</v>
      </c>
      <c r="E187">
        <f t="shared" si="2"/>
        <v>0</v>
      </c>
      <c r="F187">
        <v>1526.3119999999999</v>
      </c>
      <c r="G187" t="s">
        <v>9</v>
      </c>
      <c r="H187" t="s">
        <v>11</v>
      </c>
      <c r="I187" t="s">
        <v>10</v>
      </c>
      <c r="J187">
        <f>_xlfn.XLOOKUP(C187,dim_BMI!$C$2:$C$7,dim_BMI!$A$2:$A$7,,1)</f>
        <v>4</v>
      </c>
      <c r="K187" t="str">
        <f>_xlfn.XLOOKUP(C187,dim_BMI!$C$2:$C$7,dim_BMI!$B$2:$B$7,,1)</f>
        <v>30.0 to 34.9 (Obesity Class 1)</v>
      </c>
    </row>
    <row r="188" spans="1:11" x14ac:dyDescent="0.25">
      <c r="A188" s="1">
        <v>883</v>
      </c>
      <c r="B188">
        <v>21</v>
      </c>
      <c r="C188">
        <v>22.135000000000002</v>
      </c>
      <c r="D188">
        <v>0</v>
      </c>
      <c r="E188">
        <f t="shared" si="2"/>
        <v>0</v>
      </c>
      <c r="F188">
        <v>2585.8506499999999</v>
      </c>
      <c r="G188" t="s">
        <v>14</v>
      </c>
      <c r="H188" t="s">
        <v>11</v>
      </c>
      <c r="I188" t="s">
        <v>7</v>
      </c>
      <c r="J188">
        <f>_xlfn.XLOOKUP(C188,dim_BMI!$C$2:$C$7,dim_BMI!$A$2:$A$7,,1)</f>
        <v>2</v>
      </c>
      <c r="K188" t="str">
        <f>_xlfn.XLOOKUP(C188,dim_BMI!$C$2:$C$7,dim_BMI!$B$2:$B$7,,1)</f>
        <v>18.5 to 24.9 (Healthy Weight)</v>
      </c>
    </row>
    <row r="189" spans="1:11" x14ac:dyDescent="0.25">
      <c r="A189" s="1">
        <v>969</v>
      </c>
      <c r="B189">
        <v>21</v>
      </c>
      <c r="C189">
        <v>25.745000000000001</v>
      </c>
      <c r="D189">
        <v>2</v>
      </c>
      <c r="E189">
        <f t="shared" si="2"/>
        <v>0</v>
      </c>
      <c r="F189">
        <v>3279.8685500000001</v>
      </c>
      <c r="G189" t="s">
        <v>14</v>
      </c>
      <c r="H189" t="s">
        <v>11</v>
      </c>
      <c r="I189" t="s">
        <v>10</v>
      </c>
      <c r="J189">
        <f>_xlfn.XLOOKUP(C189,dim_BMI!$C$2:$C$7,dim_BMI!$A$2:$A$7,,1)</f>
        <v>3</v>
      </c>
      <c r="K189" t="str">
        <f>_xlfn.XLOOKUP(C189,dim_BMI!$C$2:$C$7,dim_BMI!$B$2:$B$7,,1)</f>
        <v>25.0 to 29.9 (Overweight)</v>
      </c>
    </row>
    <row r="190" spans="1:11" x14ac:dyDescent="0.25">
      <c r="A190" s="1">
        <v>1020</v>
      </c>
      <c r="B190">
        <v>21</v>
      </c>
      <c r="C190">
        <v>32.68</v>
      </c>
      <c r="D190">
        <v>2</v>
      </c>
      <c r="E190">
        <f t="shared" si="2"/>
        <v>0</v>
      </c>
      <c r="F190">
        <v>26018.950519999999</v>
      </c>
      <c r="G190" t="s">
        <v>13</v>
      </c>
      <c r="H190" t="s">
        <v>11</v>
      </c>
      <c r="I190" t="s">
        <v>7</v>
      </c>
      <c r="J190">
        <f>_xlfn.XLOOKUP(C190,dim_BMI!$C$2:$C$7,dim_BMI!$A$2:$A$7,,1)</f>
        <v>4</v>
      </c>
      <c r="K190" t="str">
        <f>_xlfn.XLOOKUP(C190,dim_BMI!$C$2:$C$7,dim_BMI!$B$2:$B$7,,1)</f>
        <v>30.0 to 34.9 (Obesity Class 1)</v>
      </c>
    </row>
    <row r="191" spans="1:11" x14ac:dyDescent="0.25">
      <c r="A191" s="1">
        <v>1026</v>
      </c>
      <c r="B191">
        <v>21</v>
      </c>
      <c r="C191">
        <v>34.6</v>
      </c>
      <c r="D191">
        <v>0</v>
      </c>
      <c r="E191">
        <f t="shared" si="2"/>
        <v>0</v>
      </c>
      <c r="F191">
        <v>2020.1769999999999</v>
      </c>
      <c r="G191" t="s">
        <v>9</v>
      </c>
      <c r="H191" t="s">
        <v>11</v>
      </c>
      <c r="I191" t="s">
        <v>7</v>
      </c>
      <c r="J191">
        <f>_xlfn.XLOOKUP(C191,dim_BMI!$C$2:$C$7,dim_BMI!$A$2:$A$7,,1)</f>
        <v>4</v>
      </c>
      <c r="K191" t="str">
        <f>_xlfn.XLOOKUP(C191,dim_BMI!$C$2:$C$7,dim_BMI!$B$2:$B$7,,1)</f>
        <v>30.0 to 34.9 (Obesity Class 1)</v>
      </c>
    </row>
    <row r="192" spans="1:11" x14ac:dyDescent="0.25">
      <c r="A192" s="1">
        <v>1073</v>
      </c>
      <c r="B192">
        <v>21</v>
      </c>
      <c r="C192">
        <v>31.254999999999999</v>
      </c>
      <c r="D192">
        <v>0</v>
      </c>
      <c r="E192">
        <f t="shared" si="2"/>
        <v>0</v>
      </c>
      <c r="F192">
        <v>1909.52745</v>
      </c>
      <c r="G192" t="s">
        <v>13</v>
      </c>
      <c r="H192" t="s">
        <v>11</v>
      </c>
      <c r="I192" t="s">
        <v>10</v>
      </c>
      <c r="J192">
        <f>_xlfn.XLOOKUP(C192,dim_BMI!$C$2:$C$7,dim_BMI!$A$2:$A$7,,1)</f>
        <v>4</v>
      </c>
      <c r="K192" t="str">
        <f>_xlfn.XLOOKUP(C192,dim_BMI!$C$2:$C$7,dim_BMI!$B$2:$B$7,,1)</f>
        <v>30.0 to 34.9 (Obesity Class 1)</v>
      </c>
    </row>
    <row r="193" spans="1:11" x14ac:dyDescent="0.25">
      <c r="A193" s="1">
        <v>1078</v>
      </c>
      <c r="B193">
        <v>21</v>
      </c>
      <c r="C193">
        <v>26.03</v>
      </c>
      <c r="D193">
        <v>0</v>
      </c>
      <c r="E193">
        <f t="shared" si="2"/>
        <v>0</v>
      </c>
      <c r="F193">
        <v>2102.2647000000002</v>
      </c>
      <c r="G193" t="s">
        <v>14</v>
      </c>
      <c r="H193" t="s">
        <v>11</v>
      </c>
      <c r="I193" t="s">
        <v>10</v>
      </c>
      <c r="J193">
        <f>_xlfn.XLOOKUP(C193,dim_BMI!$C$2:$C$7,dim_BMI!$A$2:$A$7,,1)</f>
        <v>3</v>
      </c>
      <c r="K193" t="str">
        <f>_xlfn.XLOOKUP(C193,dim_BMI!$C$2:$C$7,dim_BMI!$B$2:$B$7,,1)</f>
        <v>25.0 to 29.9 (Overweight)</v>
      </c>
    </row>
    <row r="194" spans="1:11" x14ac:dyDescent="0.25">
      <c r="A194" s="1">
        <v>1293</v>
      </c>
      <c r="B194">
        <v>21</v>
      </c>
      <c r="C194">
        <v>23.21</v>
      </c>
      <c r="D194">
        <v>0</v>
      </c>
      <c r="E194">
        <f t="shared" si="2"/>
        <v>0</v>
      </c>
      <c r="F194">
        <v>1515.3449000000001</v>
      </c>
      <c r="G194" t="s">
        <v>12</v>
      </c>
      <c r="H194" t="s">
        <v>11</v>
      </c>
      <c r="I194" t="s">
        <v>10</v>
      </c>
      <c r="J194">
        <f>_xlfn.XLOOKUP(C194,dim_BMI!$C$2:$C$7,dim_BMI!$A$2:$A$7,,1)</f>
        <v>2</v>
      </c>
      <c r="K194" t="str">
        <f>_xlfn.XLOOKUP(C194,dim_BMI!$C$2:$C$7,dim_BMI!$B$2:$B$7,,1)</f>
        <v>18.5 to 24.9 (Healthy Weight)</v>
      </c>
    </row>
    <row r="195" spans="1:11" x14ac:dyDescent="0.25">
      <c r="A195" s="1">
        <v>1337</v>
      </c>
      <c r="B195">
        <v>21</v>
      </c>
      <c r="C195">
        <v>25.8</v>
      </c>
      <c r="D195">
        <v>0</v>
      </c>
      <c r="E195">
        <f t="shared" ref="E195:E258" si="3">IF(H195="yes",1,0)</f>
        <v>0</v>
      </c>
      <c r="F195">
        <v>2007.9449999999999</v>
      </c>
      <c r="G195" t="s">
        <v>9</v>
      </c>
      <c r="H195" t="s">
        <v>11</v>
      </c>
      <c r="I195" t="s">
        <v>7</v>
      </c>
      <c r="J195">
        <f>_xlfn.XLOOKUP(C195,dim_BMI!$C$2:$C$7,dim_BMI!$A$2:$A$7,,1)</f>
        <v>3</v>
      </c>
      <c r="K195" t="str">
        <f>_xlfn.XLOOKUP(C195,dim_BMI!$C$2:$C$7,dim_BMI!$B$2:$B$7,,1)</f>
        <v>25.0 to 29.9 (Overweight)</v>
      </c>
    </row>
    <row r="196" spans="1:11" x14ac:dyDescent="0.25">
      <c r="A196" s="1">
        <v>31</v>
      </c>
      <c r="B196">
        <v>22</v>
      </c>
      <c r="C196">
        <v>35.6</v>
      </c>
      <c r="D196">
        <v>0</v>
      </c>
      <c r="E196">
        <f t="shared" si="3"/>
        <v>1</v>
      </c>
      <c r="F196">
        <v>35585.576000000001</v>
      </c>
      <c r="G196" t="s">
        <v>9</v>
      </c>
      <c r="H196" t="s">
        <v>8</v>
      </c>
      <c r="I196" t="s">
        <v>10</v>
      </c>
      <c r="J196">
        <f>_xlfn.XLOOKUP(C196,dim_BMI!$C$2:$C$7,dim_BMI!$A$2:$A$7,,1)</f>
        <v>5</v>
      </c>
      <c r="K196" t="str">
        <f>_xlfn.XLOOKUP(C196,dim_BMI!$C$2:$C$7,dim_BMI!$B$2:$B$7,,1)</f>
        <v>35 to 39.9 (Obesity Class 2)</v>
      </c>
    </row>
    <row r="197" spans="1:11" x14ac:dyDescent="0.25">
      <c r="A197" s="1">
        <v>79</v>
      </c>
      <c r="B197">
        <v>22</v>
      </c>
      <c r="C197">
        <v>39.805</v>
      </c>
      <c r="D197">
        <v>0</v>
      </c>
      <c r="E197">
        <f t="shared" si="3"/>
        <v>0</v>
      </c>
      <c r="F197">
        <v>2755.0209500000001</v>
      </c>
      <c r="G197" t="s">
        <v>14</v>
      </c>
      <c r="H197" t="s">
        <v>11</v>
      </c>
      <c r="I197" t="s">
        <v>7</v>
      </c>
      <c r="J197">
        <f>_xlfn.XLOOKUP(C197,dim_BMI!$C$2:$C$7,dim_BMI!$A$2:$A$7,,1)</f>
        <v>5</v>
      </c>
      <c r="K197" t="str">
        <f>_xlfn.XLOOKUP(C197,dim_BMI!$C$2:$C$7,dim_BMI!$B$2:$B$7,,1)</f>
        <v>35 to 39.9 (Obesity Class 2)</v>
      </c>
    </row>
    <row r="198" spans="1:11" x14ac:dyDescent="0.25">
      <c r="A198" s="1">
        <v>83</v>
      </c>
      <c r="B198">
        <v>22</v>
      </c>
      <c r="C198">
        <v>37.619999999999997</v>
      </c>
      <c r="D198">
        <v>1</v>
      </c>
      <c r="E198">
        <f t="shared" si="3"/>
        <v>1</v>
      </c>
      <c r="F198">
        <v>37165.163800000002</v>
      </c>
      <c r="G198" t="s">
        <v>12</v>
      </c>
      <c r="H198" t="s">
        <v>8</v>
      </c>
      <c r="I198" t="s">
        <v>10</v>
      </c>
      <c r="J198">
        <f>_xlfn.XLOOKUP(C198,dim_BMI!$C$2:$C$7,dim_BMI!$A$2:$A$7,,1)</f>
        <v>5</v>
      </c>
      <c r="K198" t="str">
        <f>_xlfn.XLOOKUP(C198,dim_BMI!$C$2:$C$7,dim_BMI!$B$2:$B$7,,1)</f>
        <v>35 to 39.9 (Obesity Class 2)</v>
      </c>
    </row>
    <row r="199" spans="1:11" x14ac:dyDescent="0.25">
      <c r="A199" s="1">
        <v>136</v>
      </c>
      <c r="B199">
        <v>22</v>
      </c>
      <c r="C199">
        <v>28.05</v>
      </c>
      <c r="D199">
        <v>0</v>
      </c>
      <c r="E199">
        <f t="shared" si="3"/>
        <v>0</v>
      </c>
      <c r="F199">
        <v>2155.6815000000001</v>
      </c>
      <c r="G199" t="s">
        <v>12</v>
      </c>
      <c r="H199" t="s">
        <v>11</v>
      </c>
      <c r="I199" t="s">
        <v>7</v>
      </c>
      <c r="J199">
        <f>_xlfn.XLOOKUP(C199,dim_BMI!$C$2:$C$7,dim_BMI!$A$2:$A$7,,1)</f>
        <v>3</v>
      </c>
      <c r="K199" t="str">
        <f>_xlfn.XLOOKUP(C199,dim_BMI!$C$2:$C$7,dim_BMI!$B$2:$B$7,,1)</f>
        <v>25.0 to 29.9 (Overweight)</v>
      </c>
    </row>
    <row r="200" spans="1:11" x14ac:dyDescent="0.25">
      <c r="A200" s="1">
        <v>138</v>
      </c>
      <c r="B200">
        <v>22</v>
      </c>
      <c r="C200">
        <v>25.175000000000001</v>
      </c>
      <c r="D200">
        <v>0</v>
      </c>
      <c r="E200">
        <f t="shared" si="3"/>
        <v>0</v>
      </c>
      <c r="F200">
        <v>2045.68525</v>
      </c>
      <c r="G200" t="s">
        <v>13</v>
      </c>
      <c r="H200" t="s">
        <v>11</v>
      </c>
      <c r="I200" t="s">
        <v>10</v>
      </c>
      <c r="J200">
        <f>_xlfn.XLOOKUP(C200,dim_BMI!$C$2:$C$7,dim_BMI!$A$2:$A$7,,1)</f>
        <v>3</v>
      </c>
      <c r="K200" t="str">
        <f>_xlfn.XLOOKUP(C200,dim_BMI!$C$2:$C$7,dim_BMI!$B$2:$B$7,,1)</f>
        <v>25.0 to 29.9 (Overweight)</v>
      </c>
    </row>
    <row r="201" spans="1:11" x14ac:dyDescent="0.25">
      <c r="A201" s="1">
        <v>140</v>
      </c>
      <c r="B201">
        <v>22</v>
      </c>
      <c r="C201">
        <v>36</v>
      </c>
      <c r="D201">
        <v>0</v>
      </c>
      <c r="E201">
        <f t="shared" si="3"/>
        <v>0</v>
      </c>
      <c r="F201">
        <v>2166.732</v>
      </c>
      <c r="G201" t="s">
        <v>9</v>
      </c>
      <c r="H201" t="s">
        <v>11</v>
      </c>
      <c r="I201" t="s">
        <v>7</v>
      </c>
      <c r="J201">
        <f>_xlfn.XLOOKUP(C201,dim_BMI!$C$2:$C$7,dim_BMI!$A$2:$A$7,,1)</f>
        <v>5</v>
      </c>
      <c r="K201" t="str">
        <f>_xlfn.XLOOKUP(C201,dim_BMI!$C$2:$C$7,dim_BMI!$B$2:$B$7,,1)</f>
        <v>35 to 39.9 (Obesity Class 2)</v>
      </c>
    </row>
    <row r="202" spans="1:11" x14ac:dyDescent="0.25">
      <c r="A202" s="1">
        <v>183</v>
      </c>
      <c r="B202">
        <v>22</v>
      </c>
      <c r="C202">
        <v>19.95</v>
      </c>
      <c r="D202">
        <v>3</v>
      </c>
      <c r="E202">
        <f t="shared" si="3"/>
        <v>0</v>
      </c>
      <c r="F202">
        <v>4005.4225000000001</v>
      </c>
      <c r="G202" t="s">
        <v>14</v>
      </c>
      <c r="H202" t="s">
        <v>11</v>
      </c>
      <c r="I202" t="s">
        <v>10</v>
      </c>
      <c r="J202">
        <f>_xlfn.XLOOKUP(C202,dim_BMI!$C$2:$C$7,dim_BMI!$A$2:$A$7,,1)</f>
        <v>2</v>
      </c>
      <c r="K202" t="str">
        <f>_xlfn.XLOOKUP(C202,dim_BMI!$C$2:$C$7,dim_BMI!$B$2:$B$7,,1)</f>
        <v>18.5 to 24.9 (Healthy Weight)</v>
      </c>
    </row>
    <row r="203" spans="1:11" x14ac:dyDescent="0.25">
      <c r="A203" s="1">
        <v>278</v>
      </c>
      <c r="B203">
        <v>22</v>
      </c>
      <c r="C203">
        <v>24.3</v>
      </c>
      <c r="D203">
        <v>0</v>
      </c>
      <c r="E203">
        <f t="shared" si="3"/>
        <v>0</v>
      </c>
      <c r="F203">
        <v>2150.4690000000001</v>
      </c>
      <c r="G203" t="s">
        <v>9</v>
      </c>
      <c r="H203" t="s">
        <v>11</v>
      </c>
      <c r="I203" t="s">
        <v>7</v>
      </c>
      <c r="J203">
        <f>_xlfn.XLOOKUP(C203,dim_BMI!$C$2:$C$7,dim_BMI!$A$2:$A$7,,1)</f>
        <v>2</v>
      </c>
      <c r="K203" t="str">
        <f>_xlfn.XLOOKUP(C203,dim_BMI!$C$2:$C$7,dim_BMI!$B$2:$B$7,,1)</f>
        <v>18.5 to 24.9 (Healthy Weight)</v>
      </c>
    </row>
    <row r="204" spans="1:11" x14ac:dyDescent="0.25">
      <c r="A204" s="1">
        <v>294</v>
      </c>
      <c r="B204">
        <v>22</v>
      </c>
      <c r="C204">
        <v>28.82</v>
      </c>
      <c r="D204">
        <v>0</v>
      </c>
      <c r="E204">
        <f t="shared" si="3"/>
        <v>0</v>
      </c>
      <c r="F204">
        <v>2156.7518</v>
      </c>
      <c r="G204" t="s">
        <v>12</v>
      </c>
      <c r="H204" t="s">
        <v>11</v>
      </c>
      <c r="I204" t="s">
        <v>7</v>
      </c>
      <c r="J204">
        <f>_xlfn.XLOOKUP(C204,dim_BMI!$C$2:$C$7,dim_BMI!$A$2:$A$7,,1)</f>
        <v>3</v>
      </c>
      <c r="K204" t="str">
        <f>_xlfn.XLOOKUP(C204,dim_BMI!$C$2:$C$7,dim_BMI!$B$2:$B$7,,1)</f>
        <v>25.0 to 29.9 (Overweight)</v>
      </c>
    </row>
    <row r="205" spans="1:11" x14ac:dyDescent="0.25">
      <c r="A205" s="1">
        <v>437</v>
      </c>
      <c r="B205">
        <v>22</v>
      </c>
      <c r="C205">
        <v>31.73</v>
      </c>
      <c r="D205">
        <v>0</v>
      </c>
      <c r="E205">
        <f t="shared" si="3"/>
        <v>0</v>
      </c>
      <c r="F205">
        <v>2254.7966999999999</v>
      </c>
      <c r="G205" t="s">
        <v>14</v>
      </c>
      <c r="H205" t="s">
        <v>11</v>
      </c>
      <c r="I205" t="s">
        <v>10</v>
      </c>
      <c r="J205">
        <f>_xlfn.XLOOKUP(C205,dim_BMI!$C$2:$C$7,dim_BMI!$A$2:$A$7,,1)</f>
        <v>4</v>
      </c>
      <c r="K205" t="str">
        <f>_xlfn.XLOOKUP(C205,dim_BMI!$C$2:$C$7,dim_BMI!$B$2:$B$7,,1)</f>
        <v>30.0 to 34.9 (Obesity Class 1)</v>
      </c>
    </row>
    <row r="206" spans="1:11" x14ac:dyDescent="0.25">
      <c r="A206" s="1">
        <v>507</v>
      </c>
      <c r="B206">
        <v>22</v>
      </c>
      <c r="C206">
        <v>31.35</v>
      </c>
      <c r="D206">
        <v>1</v>
      </c>
      <c r="E206">
        <f t="shared" si="3"/>
        <v>0</v>
      </c>
      <c r="F206">
        <v>2643.2685000000001</v>
      </c>
      <c r="G206" t="s">
        <v>13</v>
      </c>
      <c r="H206" t="s">
        <v>11</v>
      </c>
      <c r="I206" t="s">
        <v>10</v>
      </c>
      <c r="J206">
        <f>_xlfn.XLOOKUP(C206,dim_BMI!$C$2:$C$7,dim_BMI!$A$2:$A$7,,1)</f>
        <v>4</v>
      </c>
      <c r="K206" t="str">
        <f>_xlfn.XLOOKUP(C206,dim_BMI!$C$2:$C$7,dim_BMI!$B$2:$B$7,,1)</f>
        <v>30.0 to 34.9 (Obesity Class 1)</v>
      </c>
    </row>
    <row r="207" spans="1:11" x14ac:dyDescent="0.25">
      <c r="A207" s="1">
        <v>577</v>
      </c>
      <c r="B207">
        <v>22</v>
      </c>
      <c r="C207">
        <v>26.84</v>
      </c>
      <c r="D207">
        <v>0</v>
      </c>
      <c r="E207">
        <f t="shared" si="3"/>
        <v>0</v>
      </c>
      <c r="F207">
        <v>1664.9996000000001</v>
      </c>
      <c r="G207" t="s">
        <v>12</v>
      </c>
      <c r="H207" t="s">
        <v>11</v>
      </c>
      <c r="I207" t="s">
        <v>10</v>
      </c>
      <c r="J207">
        <f>_xlfn.XLOOKUP(C207,dim_BMI!$C$2:$C$7,dim_BMI!$A$2:$A$7,,1)</f>
        <v>3</v>
      </c>
      <c r="K207" t="str">
        <f>_xlfn.XLOOKUP(C207,dim_BMI!$C$2:$C$7,dim_BMI!$B$2:$B$7,,1)</f>
        <v>25.0 to 29.9 (Overweight)</v>
      </c>
    </row>
    <row r="208" spans="1:11" x14ac:dyDescent="0.25">
      <c r="A208" s="1">
        <v>761</v>
      </c>
      <c r="B208">
        <v>22</v>
      </c>
      <c r="C208">
        <v>34.58</v>
      </c>
      <c r="D208">
        <v>2</v>
      </c>
      <c r="E208">
        <f t="shared" si="3"/>
        <v>0</v>
      </c>
      <c r="F208">
        <v>3925.7582000000002</v>
      </c>
      <c r="G208" t="s">
        <v>14</v>
      </c>
      <c r="H208" t="s">
        <v>11</v>
      </c>
      <c r="I208" t="s">
        <v>7</v>
      </c>
      <c r="J208">
        <f>_xlfn.XLOOKUP(C208,dim_BMI!$C$2:$C$7,dim_BMI!$A$2:$A$7,,1)</f>
        <v>4</v>
      </c>
      <c r="K208" t="str">
        <f>_xlfn.XLOOKUP(C208,dim_BMI!$C$2:$C$7,dim_BMI!$B$2:$B$7,,1)</f>
        <v>30.0 to 34.9 (Obesity Class 1)</v>
      </c>
    </row>
    <row r="209" spans="1:11" x14ac:dyDescent="0.25">
      <c r="A209" s="1">
        <v>793</v>
      </c>
      <c r="B209">
        <v>22</v>
      </c>
      <c r="C209">
        <v>23.18</v>
      </c>
      <c r="D209">
        <v>0</v>
      </c>
      <c r="E209">
        <f t="shared" si="3"/>
        <v>0</v>
      </c>
      <c r="F209">
        <v>2731.9122000000002</v>
      </c>
      <c r="G209" t="s">
        <v>14</v>
      </c>
      <c r="H209" t="s">
        <v>11</v>
      </c>
      <c r="I209" t="s">
        <v>7</v>
      </c>
      <c r="J209">
        <f>_xlfn.XLOOKUP(C209,dim_BMI!$C$2:$C$7,dim_BMI!$A$2:$A$7,,1)</f>
        <v>2</v>
      </c>
      <c r="K209" t="str">
        <f>_xlfn.XLOOKUP(C209,dim_BMI!$C$2:$C$7,dim_BMI!$B$2:$B$7,,1)</f>
        <v>18.5 to 24.9 (Healthy Weight)</v>
      </c>
    </row>
    <row r="210" spans="1:11" x14ac:dyDescent="0.25">
      <c r="A210" s="1">
        <v>881</v>
      </c>
      <c r="B210">
        <v>22</v>
      </c>
      <c r="C210">
        <v>34.799999999999997</v>
      </c>
      <c r="D210">
        <v>3</v>
      </c>
      <c r="E210">
        <f t="shared" si="3"/>
        <v>0</v>
      </c>
      <c r="F210">
        <v>3443.0639999999999</v>
      </c>
      <c r="G210" t="s">
        <v>9</v>
      </c>
      <c r="H210" t="s">
        <v>11</v>
      </c>
      <c r="I210" t="s">
        <v>10</v>
      </c>
      <c r="J210">
        <f>_xlfn.XLOOKUP(C210,dim_BMI!$C$2:$C$7,dim_BMI!$A$2:$A$7,,1)</f>
        <v>4</v>
      </c>
      <c r="K210" t="str">
        <f>_xlfn.XLOOKUP(C210,dim_BMI!$C$2:$C$7,dim_BMI!$B$2:$B$7,,1)</f>
        <v>30.0 to 34.9 (Obesity Class 1)</v>
      </c>
    </row>
    <row r="211" spans="1:11" x14ac:dyDescent="0.25">
      <c r="A211" s="1">
        <v>889</v>
      </c>
      <c r="B211">
        <v>22</v>
      </c>
      <c r="C211">
        <v>39.5</v>
      </c>
      <c r="D211">
        <v>0</v>
      </c>
      <c r="E211">
        <f t="shared" si="3"/>
        <v>0</v>
      </c>
      <c r="F211">
        <v>1682.597</v>
      </c>
      <c r="G211" t="s">
        <v>9</v>
      </c>
      <c r="H211" t="s">
        <v>11</v>
      </c>
      <c r="I211" t="s">
        <v>10</v>
      </c>
      <c r="J211">
        <f>_xlfn.XLOOKUP(C211,dim_BMI!$C$2:$C$7,dim_BMI!$A$2:$A$7,,1)</f>
        <v>5</v>
      </c>
      <c r="K211" t="str">
        <f>_xlfn.XLOOKUP(C211,dim_BMI!$C$2:$C$7,dim_BMI!$B$2:$B$7,,1)</f>
        <v>35 to 39.9 (Obesity Class 2)</v>
      </c>
    </row>
    <row r="212" spans="1:11" x14ac:dyDescent="0.25">
      <c r="A212" s="1">
        <v>911</v>
      </c>
      <c r="B212">
        <v>22</v>
      </c>
      <c r="C212">
        <v>28.31</v>
      </c>
      <c r="D212">
        <v>1</v>
      </c>
      <c r="E212">
        <f t="shared" si="3"/>
        <v>0</v>
      </c>
      <c r="F212">
        <v>2639.0428999999999</v>
      </c>
      <c r="G212" t="s">
        <v>13</v>
      </c>
      <c r="H212" t="s">
        <v>11</v>
      </c>
      <c r="I212" t="s">
        <v>10</v>
      </c>
      <c r="J212">
        <f>_xlfn.XLOOKUP(C212,dim_BMI!$C$2:$C$7,dim_BMI!$A$2:$A$7,,1)</f>
        <v>3</v>
      </c>
      <c r="K212" t="str">
        <f>_xlfn.XLOOKUP(C212,dim_BMI!$C$2:$C$7,dim_BMI!$B$2:$B$7,,1)</f>
        <v>25.0 to 29.9 (Overweight)</v>
      </c>
    </row>
    <row r="213" spans="1:11" x14ac:dyDescent="0.25">
      <c r="A213" s="1">
        <v>973</v>
      </c>
      <c r="B213">
        <v>22</v>
      </c>
      <c r="C213">
        <v>20.234999999999999</v>
      </c>
      <c r="D213">
        <v>0</v>
      </c>
      <c r="E213">
        <f t="shared" si="3"/>
        <v>0</v>
      </c>
      <c r="F213">
        <v>2527.8186500000002</v>
      </c>
      <c r="G213" t="s">
        <v>13</v>
      </c>
      <c r="H213" t="s">
        <v>11</v>
      </c>
      <c r="I213" t="s">
        <v>7</v>
      </c>
      <c r="J213">
        <f>_xlfn.XLOOKUP(C213,dim_BMI!$C$2:$C$7,dim_BMI!$A$2:$A$7,,1)</f>
        <v>2</v>
      </c>
      <c r="K213" t="str">
        <f>_xlfn.XLOOKUP(C213,dim_BMI!$C$2:$C$7,dim_BMI!$B$2:$B$7,,1)</f>
        <v>18.5 to 24.9 (Healthy Weight)</v>
      </c>
    </row>
    <row r="214" spans="1:11" x14ac:dyDescent="0.25">
      <c r="A214" s="1">
        <v>1022</v>
      </c>
      <c r="B214">
        <v>22</v>
      </c>
      <c r="C214">
        <v>31.02</v>
      </c>
      <c r="D214">
        <v>3</v>
      </c>
      <c r="E214">
        <f t="shared" si="3"/>
        <v>1</v>
      </c>
      <c r="F214">
        <v>35595.589800000002</v>
      </c>
      <c r="G214" t="s">
        <v>12</v>
      </c>
      <c r="H214" t="s">
        <v>8</v>
      </c>
      <c r="I214" t="s">
        <v>7</v>
      </c>
      <c r="J214">
        <f>_xlfn.XLOOKUP(C214,dim_BMI!$C$2:$C$7,dim_BMI!$A$2:$A$7,,1)</f>
        <v>4</v>
      </c>
      <c r="K214" t="str">
        <f>_xlfn.XLOOKUP(C214,dim_BMI!$C$2:$C$7,dim_BMI!$B$2:$B$7,,1)</f>
        <v>30.0 to 34.9 (Obesity Class 1)</v>
      </c>
    </row>
    <row r="215" spans="1:11" x14ac:dyDescent="0.25">
      <c r="A215" s="1">
        <v>1037</v>
      </c>
      <c r="B215">
        <v>22</v>
      </c>
      <c r="C215">
        <v>37.07</v>
      </c>
      <c r="D215">
        <v>2</v>
      </c>
      <c r="E215">
        <f t="shared" si="3"/>
        <v>1</v>
      </c>
      <c r="F215">
        <v>37484.4493</v>
      </c>
      <c r="G215" t="s">
        <v>12</v>
      </c>
      <c r="H215" t="s">
        <v>8</v>
      </c>
      <c r="I215" t="s">
        <v>10</v>
      </c>
      <c r="J215">
        <f>_xlfn.XLOOKUP(C215,dim_BMI!$C$2:$C$7,dim_BMI!$A$2:$A$7,,1)</f>
        <v>5</v>
      </c>
      <c r="K215" t="str">
        <f>_xlfn.XLOOKUP(C215,dim_BMI!$C$2:$C$7,dim_BMI!$B$2:$B$7,,1)</f>
        <v>35 to 39.9 (Obesity Class 2)</v>
      </c>
    </row>
    <row r="216" spans="1:11" x14ac:dyDescent="0.25">
      <c r="A216" s="1">
        <v>1039</v>
      </c>
      <c r="B216">
        <v>22</v>
      </c>
      <c r="C216">
        <v>28.88</v>
      </c>
      <c r="D216">
        <v>0</v>
      </c>
      <c r="E216">
        <f t="shared" si="3"/>
        <v>0</v>
      </c>
      <c r="F216">
        <v>2250.8352</v>
      </c>
      <c r="G216" t="s">
        <v>14</v>
      </c>
      <c r="H216" t="s">
        <v>11</v>
      </c>
      <c r="I216" t="s">
        <v>10</v>
      </c>
      <c r="J216">
        <f>_xlfn.XLOOKUP(C216,dim_BMI!$C$2:$C$7,dim_BMI!$A$2:$A$7,,1)</f>
        <v>3</v>
      </c>
      <c r="K216" t="str">
        <f>_xlfn.XLOOKUP(C216,dim_BMI!$C$2:$C$7,dim_BMI!$B$2:$B$7,,1)</f>
        <v>25.0 to 29.9 (Overweight)</v>
      </c>
    </row>
    <row r="217" spans="1:11" x14ac:dyDescent="0.25">
      <c r="A217" s="1">
        <v>1048</v>
      </c>
      <c r="B217">
        <v>22</v>
      </c>
      <c r="C217">
        <v>52.58</v>
      </c>
      <c r="D217">
        <v>1</v>
      </c>
      <c r="E217">
        <f t="shared" si="3"/>
        <v>1</v>
      </c>
      <c r="F217">
        <v>44501.398200000003</v>
      </c>
      <c r="G217" t="s">
        <v>12</v>
      </c>
      <c r="H217" t="s">
        <v>8</v>
      </c>
      <c r="I217" t="s">
        <v>10</v>
      </c>
      <c r="J217">
        <f>_xlfn.XLOOKUP(C217,dim_BMI!$C$2:$C$7,dim_BMI!$A$2:$A$7,,1)</f>
        <v>6</v>
      </c>
      <c r="K217" t="str">
        <f>_xlfn.XLOOKUP(C217,dim_BMI!$C$2:$C$7,dim_BMI!$B$2:$B$7,,1)</f>
        <v>40 or higher (Severe Obesity Class 3)</v>
      </c>
    </row>
    <row r="218" spans="1:11" x14ac:dyDescent="0.25">
      <c r="A218" s="1">
        <v>1094</v>
      </c>
      <c r="B218">
        <v>22</v>
      </c>
      <c r="C218">
        <v>30.4</v>
      </c>
      <c r="D218">
        <v>0</v>
      </c>
      <c r="E218">
        <f t="shared" si="3"/>
        <v>1</v>
      </c>
      <c r="F218">
        <v>33907.548000000003</v>
      </c>
      <c r="G218" t="s">
        <v>13</v>
      </c>
      <c r="H218" t="s">
        <v>8</v>
      </c>
      <c r="I218" t="s">
        <v>7</v>
      </c>
      <c r="J218">
        <f>_xlfn.XLOOKUP(C218,dim_BMI!$C$2:$C$7,dim_BMI!$A$2:$A$7,,1)</f>
        <v>4</v>
      </c>
      <c r="K218" t="str">
        <f>_xlfn.XLOOKUP(C218,dim_BMI!$C$2:$C$7,dim_BMI!$B$2:$B$7,,1)</f>
        <v>30.0 to 34.9 (Obesity Class 1)</v>
      </c>
    </row>
    <row r="219" spans="1:11" x14ac:dyDescent="0.25">
      <c r="A219" s="1">
        <v>1098</v>
      </c>
      <c r="B219">
        <v>22</v>
      </c>
      <c r="C219">
        <v>33.770000000000003</v>
      </c>
      <c r="D219">
        <v>0</v>
      </c>
      <c r="E219">
        <f t="shared" si="3"/>
        <v>0</v>
      </c>
      <c r="F219">
        <v>1674.6323</v>
      </c>
      <c r="G219" t="s">
        <v>12</v>
      </c>
      <c r="H219" t="s">
        <v>11</v>
      </c>
      <c r="I219" t="s">
        <v>10</v>
      </c>
      <c r="J219">
        <f>_xlfn.XLOOKUP(C219,dim_BMI!$C$2:$C$7,dim_BMI!$A$2:$A$7,,1)</f>
        <v>4</v>
      </c>
      <c r="K219" t="str">
        <f>_xlfn.XLOOKUP(C219,dim_BMI!$C$2:$C$7,dim_BMI!$B$2:$B$7,,1)</f>
        <v>30.0 to 34.9 (Obesity Class 1)</v>
      </c>
    </row>
    <row r="220" spans="1:11" x14ac:dyDescent="0.25">
      <c r="A220" s="1">
        <v>1176</v>
      </c>
      <c r="B220">
        <v>22</v>
      </c>
      <c r="C220">
        <v>27.1</v>
      </c>
      <c r="D220">
        <v>0</v>
      </c>
      <c r="E220">
        <f t="shared" si="3"/>
        <v>0</v>
      </c>
      <c r="F220">
        <v>2154.3609999999999</v>
      </c>
      <c r="G220" t="s">
        <v>9</v>
      </c>
      <c r="H220" t="s">
        <v>11</v>
      </c>
      <c r="I220" t="s">
        <v>7</v>
      </c>
      <c r="J220">
        <f>_xlfn.XLOOKUP(C220,dim_BMI!$C$2:$C$7,dim_BMI!$A$2:$A$7,,1)</f>
        <v>3</v>
      </c>
      <c r="K220" t="str">
        <f>_xlfn.XLOOKUP(C220,dim_BMI!$C$2:$C$7,dim_BMI!$B$2:$B$7,,1)</f>
        <v>25.0 to 29.9 (Overweight)</v>
      </c>
    </row>
    <row r="221" spans="1:11" x14ac:dyDescent="0.25">
      <c r="A221" s="1">
        <v>1203</v>
      </c>
      <c r="B221">
        <v>22</v>
      </c>
      <c r="C221">
        <v>32.11</v>
      </c>
      <c r="D221">
        <v>0</v>
      </c>
      <c r="E221">
        <f t="shared" si="3"/>
        <v>0</v>
      </c>
      <c r="F221">
        <v>2055.3249000000001</v>
      </c>
      <c r="G221" t="s">
        <v>13</v>
      </c>
      <c r="H221" t="s">
        <v>11</v>
      </c>
      <c r="I221" t="s">
        <v>10</v>
      </c>
      <c r="J221">
        <f>_xlfn.XLOOKUP(C221,dim_BMI!$C$2:$C$7,dim_BMI!$A$2:$A$7,,1)</f>
        <v>4</v>
      </c>
      <c r="K221" t="str">
        <f>_xlfn.XLOOKUP(C221,dim_BMI!$C$2:$C$7,dim_BMI!$B$2:$B$7,,1)</f>
        <v>30.0 to 34.9 (Obesity Class 1)</v>
      </c>
    </row>
    <row r="222" spans="1:11" x14ac:dyDescent="0.25">
      <c r="A222" s="1">
        <v>1243</v>
      </c>
      <c r="B222">
        <v>22</v>
      </c>
      <c r="C222">
        <v>21.28</v>
      </c>
      <c r="D222">
        <v>3</v>
      </c>
      <c r="E222">
        <f t="shared" si="3"/>
        <v>0</v>
      </c>
      <c r="F222">
        <v>4296.2712000000001</v>
      </c>
      <c r="G222" t="s">
        <v>13</v>
      </c>
      <c r="H222" t="s">
        <v>11</v>
      </c>
      <c r="I222" t="s">
        <v>7</v>
      </c>
      <c r="J222">
        <f>_xlfn.XLOOKUP(C222,dim_BMI!$C$2:$C$7,dim_BMI!$A$2:$A$7,,1)</f>
        <v>2</v>
      </c>
      <c r="K222" t="str">
        <f>_xlfn.XLOOKUP(C222,dim_BMI!$C$2:$C$7,dim_BMI!$B$2:$B$7,,1)</f>
        <v>18.5 to 24.9 (Healthy Weight)</v>
      </c>
    </row>
    <row r="223" spans="1:11" x14ac:dyDescent="0.25">
      <c r="A223" s="1">
        <v>1277</v>
      </c>
      <c r="B223">
        <v>22</v>
      </c>
      <c r="C223">
        <v>30.4</v>
      </c>
      <c r="D223">
        <v>0</v>
      </c>
      <c r="E223">
        <f t="shared" si="3"/>
        <v>0</v>
      </c>
      <c r="F223">
        <v>2741.9479999999999</v>
      </c>
      <c r="G223" t="s">
        <v>14</v>
      </c>
      <c r="H223" t="s">
        <v>11</v>
      </c>
      <c r="I223" t="s">
        <v>7</v>
      </c>
      <c r="J223">
        <f>_xlfn.XLOOKUP(C223,dim_BMI!$C$2:$C$7,dim_BMI!$A$2:$A$7,,1)</f>
        <v>4</v>
      </c>
      <c r="K223" t="str">
        <f>_xlfn.XLOOKUP(C223,dim_BMI!$C$2:$C$7,dim_BMI!$B$2:$B$7,,1)</f>
        <v>30.0 to 34.9 (Obesity Class 1)</v>
      </c>
    </row>
    <row r="224" spans="1:11" x14ac:dyDescent="0.25">
      <c r="A224" s="1">
        <v>13</v>
      </c>
      <c r="B224">
        <v>23</v>
      </c>
      <c r="C224">
        <v>34.4</v>
      </c>
      <c r="D224">
        <v>0</v>
      </c>
      <c r="E224">
        <f t="shared" si="3"/>
        <v>0</v>
      </c>
      <c r="F224">
        <v>1826.8430000000001</v>
      </c>
      <c r="G224" t="s">
        <v>9</v>
      </c>
      <c r="H224" t="s">
        <v>11</v>
      </c>
      <c r="I224" t="s">
        <v>10</v>
      </c>
      <c r="J224">
        <f>_xlfn.XLOOKUP(C224,dim_BMI!$C$2:$C$7,dim_BMI!$A$2:$A$7,,1)</f>
        <v>4</v>
      </c>
      <c r="K224" t="str">
        <f>_xlfn.XLOOKUP(C224,dim_BMI!$C$2:$C$7,dim_BMI!$B$2:$B$7,,1)</f>
        <v>30.0 to 34.9 (Obesity Class 1)</v>
      </c>
    </row>
    <row r="225" spans="1:11" x14ac:dyDescent="0.25">
      <c r="A225" s="1">
        <v>18</v>
      </c>
      <c r="B225">
        <v>23</v>
      </c>
      <c r="C225">
        <v>23.844999999999999</v>
      </c>
      <c r="D225">
        <v>0</v>
      </c>
      <c r="E225">
        <f t="shared" si="3"/>
        <v>0</v>
      </c>
      <c r="F225">
        <v>2395.17155</v>
      </c>
      <c r="G225" t="s">
        <v>14</v>
      </c>
      <c r="H225" t="s">
        <v>11</v>
      </c>
      <c r="I225" t="s">
        <v>10</v>
      </c>
      <c r="J225">
        <f>_xlfn.XLOOKUP(C225,dim_BMI!$C$2:$C$7,dim_BMI!$A$2:$A$7,,1)</f>
        <v>2</v>
      </c>
      <c r="K225" t="str">
        <f>_xlfn.XLOOKUP(C225,dim_BMI!$C$2:$C$7,dim_BMI!$B$2:$B$7,,1)</f>
        <v>18.5 to 24.9 (Healthy Weight)</v>
      </c>
    </row>
    <row r="226" spans="1:11" x14ac:dyDescent="0.25">
      <c r="A226" s="1">
        <v>29</v>
      </c>
      <c r="B226">
        <v>23</v>
      </c>
      <c r="C226">
        <v>17.385000000000002</v>
      </c>
      <c r="D226">
        <v>1</v>
      </c>
      <c r="E226">
        <f t="shared" si="3"/>
        <v>0</v>
      </c>
      <c r="F226">
        <v>2775.1921499999999</v>
      </c>
      <c r="G226" t="s">
        <v>13</v>
      </c>
      <c r="H226" t="s">
        <v>11</v>
      </c>
      <c r="I226" t="s">
        <v>10</v>
      </c>
      <c r="J226">
        <f>_xlfn.XLOOKUP(C226,dim_BMI!$C$2:$C$7,dim_BMI!$A$2:$A$7,,1)</f>
        <v>1</v>
      </c>
      <c r="K226" t="str">
        <f>_xlfn.XLOOKUP(C226,dim_BMI!$C$2:$C$7,dim_BMI!$B$2:$B$7,,1)</f>
        <v>18.49 or less (Underweight)</v>
      </c>
    </row>
    <row r="227" spans="1:11" x14ac:dyDescent="0.25">
      <c r="A227" s="1">
        <v>241</v>
      </c>
      <c r="B227">
        <v>23</v>
      </c>
      <c r="C227">
        <v>36.67</v>
      </c>
      <c r="D227">
        <v>2</v>
      </c>
      <c r="E227">
        <f t="shared" si="3"/>
        <v>1</v>
      </c>
      <c r="F227">
        <v>38511.628299999997</v>
      </c>
      <c r="G227" t="s">
        <v>14</v>
      </c>
      <c r="H227" t="s">
        <v>8</v>
      </c>
      <c r="I227" t="s">
        <v>7</v>
      </c>
      <c r="J227">
        <f>_xlfn.XLOOKUP(C227,dim_BMI!$C$2:$C$7,dim_BMI!$A$2:$A$7,,1)</f>
        <v>5</v>
      </c>
      <c r="K227" t="str">
        <f>_xlfn.XLOOKUP(C227,dim_BMI!$C$2:$C$7,dim_BMI!$B$2:$B$7,,1)</f>
        <v>35 to 39.9 (Obesity Class 2)</v>
      </c>
    </row>
    <row r="228" spans="1:11" x14ac:dyDescent="0.25">
      <c r="A228" s="1">
        <v>359</v>
      </c>
      <c r="B228">
        <v>23</v>
      </c>
      <c r="C228">
        <v>41.91</v>
      </c>
      <c r="D228">
        <v>0</v>
      </c>
      <c r="E228">
        <f t="shared" si="3"/>
        <v>0</v>
      </c>
      <c r="F228">
        <v>1837.2819</v>
      </c>
      <c r="G228" t="s">
        <v>12</v>
      </c>
      <c r="H228" t="s">
        <v>11</v>
      </c>
      <c r="I228" t="s">
        <v>10</v>
      </c>
      <c r="J228">
        <f>_xlfn.XLOOKUP(C228,dim_BMI!$C$2:$C$7,dim_BMI!$A$2:$A$7,,1)</f>
        <v>6</v>
      </c>
      <c r="K228" t="str">
        <f>_xlfn.XLOOKUP(C228,dim_BMI!$C$2:$C$7,dim_BMI!$B$2:$B$7,,1)</f>
        <v>40 or higher (Severe Obesity Class 3)</v>
      </c>
    </row>
    <row r="229" spans="1:11" x14ac:dyDescent="0.25">
      <c r="A229" s="1">
        <v>376</v>
      </c>
      <c r="B229">
        <v>23</v>
      </c>
      <c r="C229">
        <v>28.31</v>
      </c>
      <c r="D229">
        <v>0</v>
      </c>
      <c r="E229">
        <f t="shared" si="3"/>
        <v>1</v>
      </c>
      <c r="F229">
        <v>18033.9679</v>
      </c>
      <c r="G229" t="s">
        <v>13</v>
      </c>
      <c r="H229" t="s">
        <v>8</v>
      </c>
      <c r="I229" t="s">
        <v>7</v>
      </c>
      <c r="J229">
        <f>_xlfn.XLOOKUP(C229,dim_BMI!$C$2:$C$7,dim_BMI!$A$2:$A$7,,1)</f>
        <v>3</v>
      </c>
      <c r="K229" t="str">
        <f>_xlfn.XLOOKUP(C229,dim_BMI!$C$2:$C$7,dim_BMI!$B$2:$B$7,,1)</f>
        <v>25.0 to 29.9 (Overweight)</v>
      </c>
    </row>
    <row r="230" spans="1:11" x14ac:dyDescent="0.25">
      <c r="A230" s="1">
        <v>480</v>
      </c>
      <c r="B230">
        <v>23</v>
      </c>
      <c r="C230">
        <v>32.56</v>
      </c>
      <c r="D230">
        <v>0</v>
      </c>
      <c r="E230">
        <f t="shared" si="3"/>
        <v>0</v>
      </c>
      <c r="F230">
        <v>1824.2854</v>
      </c>
      <c r="G230" t="s">
        <v>12</v>
      </c>
      <c r="H230" t="s">
        <v>11</v>
      </c>
      <c r="I230" t="s">
        <v>10</v>
      </c>
      <c r="J230">
        <f>_xlfn.XLOOKUP(C230,dim_BMI!$C$2:$C$7,dim_BMI!$A$2:$A$7,,1)</f>
        <v>4</v>
      </c>
      <c r="K230" t="str">
        <f>_xlfn.XLOOKUP(C230,dim_BMI!$C$2:$C$7,dim_BMI!$B$2:$B$7,,1)</f>
        <v>30.0 to 34.9 (Obesity Class 1)</v>
      </c>
    </row>
    <row r="231" spans="1:11" x14ac:dyDescent="0.25">
      <c r="A231" s="1">
        <v>644</v>
      </c>
      <c r="B231">
        <v>23</v>
      </c>
      <c r="C231">
        <v>34.96</v>
      </c>
      <c r="D231">
        <v>3</v>
      </c>
      <c r="E231">
        <f t="shared" si="3"/>
        <v>0</v>
      </c>
      <c r="F231">
        <v>4466.6214</v>
      </c>
      <c r="G231" t="s">
        <v>13</v>
      </c>
      <c r="H231" t="s">
        <v>11</v>
      </c>
      <c r="I231" t="s">
        <v>7</v>
      </c>
      <c r="J231">
        <f>_xlfn.XLOOKUP(C231,dim_BMI!$C$2:$C$7,dim_BMI!$A$2:$A$7,,1)</f>
        <v>5</v>
      </c>
      <c r="K231" t="str">
        <f>_xlfn.XLOOKUP(C231,dim_BMI!$C$2:$C$7,dim_BMI!$B$2:$B$7,,1)</f>
        <v>35 to 39.9 (Obesity Class 2)</v>
      </c>
    </row>
    <row r="232" spans="1:11" x14ac:dyDescent="0.25">
      <c r="A232" s="1">
        <v>700</v>
      </c>
      <c r="B232">
        <v>23</v>
      </c>
      <c r="C232">
        <v>39.270000000000003</v>
      </c>
      <c r="D232">
        <v>2</v>
      </c>
      <c r="E232">
        <f t="shared" si="3"/>
        <v>0</v>
      </c>
      <c r="F232">
        <v>3500.6122999999998</v>
      </c>
      <c r="G232" t="s">
        <v>12</v>
      </c>
      <c r="H232" t="s">
        <v>11</v>
      </c>
      <c r="I232" t="s">
        <v>7</v>
      </c>
      <c r="J232">
        <f>_xlfn.XLOOKUP(C232,dim_BMI!$C$2:$C$7,dim_BMI!$A$2:$A$7,,1)</f>
        <v>5</v>
      </c>
      <c r="K232" t="str">
        <f>_xlfn.XLOOKUP(C232,dim_BMI!$C$2:$C$7,dim_BMI!$B$2:$B$7,,1)</f>
        <v>35 to 39.9 (Obesity Class 2)</v>
      </c>
    </row>
    <row r="233" spans="1:11" x14ac:dyDescent="0.25">
      <c r="A233" s="1">
        <v>739</v>
      </c>
      <c r="B233">
        <v>23</v>
      </c>
      <c r="C233">
        <v>31.73</v>
      </c>
      <c r="D233">
        <v>3</v>
      </c>
      <c r="E233">
        <f t="shared" si="3"/>
        <v>1</v>
      </c>
      <c r="F233">
        <v>36189.101699999999</v>
      </c>
      <c r="G233" t="s">
        <v>14</v>
      </c>
      <c r="H233" t="s">
        <v>8</v>
      </c>
      <c r="I233" t="s">
        <v>10</v>
      </c>
      <c r="J233">
        <f>_xlfn.XLOOKUP(C233,dim_BMI!$C$2:$C$7,dim_BMI!$A$2:$A$7,,1)</f>
        <v>4</v>
      </c>
      <c r="K233" t="str">
        <f>_xlfn.XLOOKUP(C233,dim_BMI!$C$2:$C$7,dim_BMI!$B$2:$B$7,,1)</f>
        <v>30.0 to 34.9 (Obesity Class 1)</v>
      </c>
    </row>
    <row r="234" spans="1:11" x14ac:dyDescent="0.25">
      <c r="A234" s="1">
        <v>762</v>
      </c>
      <c r="B234">
        <v>23</v>
      </c>
      <c r="C234">
        <v>35.200000000000003</v>
      </c>
      <c r="D234">
        <v>1</v>
      </c>
      <c r="E234">
        <f t="shared" si="3"/>
        <v>0</v>
      </c>
      <c r="F234">
        <v>2416.9549999999999</v>
      </c>
      <c r="G234" t="s">
        <v>9</v>
      </c>
      <c r="H234" t="s">
        <v>11</v>
      </c>
      <c r="I234" t="s">
        <v>10</v>
      </c>
      <c r="J234">
        <f>_xlfn.XLOOKUP(C234,dim_BMI!$C$2:$C$7,dim_BMI!$A$2:$A$7,,1)</f>
        <v>5</v>
      </c>
      <c r="K234" t="str">
        <f>_xlfn.XLOOKUP(C234,dim_BMI!$C$2:$C$7,dim_BMI!$B$2:$B$7,,1)</f>
        <v>35 to 39.9 (Obesity Class 2)</v>
      </c>
    </row>
    <row r="235" spans="1:11" x14ac:dyDescent="0.25">
      <c r="A235" s="1">
        <v>805</v>
      </c>
      <c r="B235">
        <v>23</v>
      </c>
      <c r="C235">
        <v>26.51</v>
      </c>
      <c r="D235">
        <v>0</v>
      </c>
      <c r="E235">
        <f t="shared" si="3"/>
        <v>0</v>
      </c>
      <c r="F235">
        <v>1815.8759</v>
      </c>
      <c r="G235" t="s">
        <v>12</v>
      </c>
      <c r="H235" t="s">
        <v>11</v>
      </c>
      <c r="I235" t="s">
        <v>10</v>
      </c>
      <c r="J235">
        <f>_xlfn.XLOOKUP(C235,dim_BMI!$C$2:$C$7,dim_BMI!$A$2:$A$7,,1)</f>
        <v>3</v>
      </c>
      <c r="K235" t="str">
        <f>_xlfn.XLOOKUP(C235,dim_BMI!$C$2:$C$7,dim_BMI!$B$2:$B$7,,1)</f>
        <v>25.0 to 29.9 (Overweight)</v>
      </c>
    </row>
    <row r="236" spans="1:11" x14ac:dyDescent="0.25">
      <c r="A236" s="1">
        <v>818</v>
      </c>
      <c r="B236">
        <v>23</v>
      </c>
      <c r="C236">
        <v>37.1</v>
      </c>
      <c r="D236">
        <v>3</v>
      </c>
      <c r="E236">
        <f t="shared" si="3"/>
        <v>0</v>
      </c>
      <c r="F236">
        <v>3597.596</v>
      </c>
      <c r="G236" t="s">
        <v>9</v>
      </c>
      <c r="H236" t="s">
        <v>11</v>
      </c>
      <c r="I236" t="s">
        <v>10</v>
      </c>
      <c r="J236">
        <f>_xlfn.XLOOKUP(C236,dim_BMI!$C$2:$C$7,dim_BMI!$A$2:$A$7,,1)</f>
        <v>5</v>
      </c>
      <c r="K236" t="str">
        <f>_xlfn.XLOOKUP(C236,dim_BMI!$C$2:$C$7,dim_BMI!$B$2:$B$7,,1)</f>
        <v>35 to 39.9 (Obesity Class 2)</v>
      </c>
    </row>
    <row r="237" spans="1:11" x14ac:dyDescent="0.25">
      <c r="A237" s="1">
        <v>843</v>
      </c>
      <c r="B237">
        <v>23</v>
      </c>
      <c r="C237">
        <v>32.78</v>
      </c>
      <c r="D237">
        <v>2</v>
      </c>
      <c r="E237">
        <f t="shared" si="3"/>
        <v>1</v>
      </c>
      <c r="F237">
        <v>36021.011200000001</v>
      </c>
      <c r="G237" t="s">
        <v>12</v>
      </c>
      <c r="H237" t="s">
        <v>8</v>
      </c>
      <c r="I237" t="s">
        <v>7</v>
      </c>
      <c r="J237">
        <f>_xlfn.XLOOKUP(C237,dim_BMI!$C$2:$C$7,dim_BMI!$A$2:$A$7,,1)</f>
        <v>4</v>
      </c>
      <c r="K237" t="str">
        <f>_xlfn.XLOOKUP(C237,dim_BMI!$C$2:$C$7,dim_BMI!$B$2:$B$7,,1)</f>
        <v>30.0 to 34.9 (Obesity Class 1)</v>
      </c>
    </row>
    <row r="238" spans="1:11" x14ac:dyDescent="0.25">
      <c r="A238" s="1">
        <v>848</v>
      </c>
      <c r="B238">
        <v>23</v>
      </c>
      <c r="C238">
        <v>50.38</v>
      </c>
      <c r="D238">
        <v>1</v>
      </c>
      <c r="E238">
        <f t="shared" si="3"/>
        <v>0</v>
      </c>
      <c r="F238">
        <v>2438.0551999999998</v>
      </c>
      <c r="G238" t="s">
        <v>12</v>
      </c>
      <c r="H238" t="s">
        <v>11</v>
      </c>
      <c r="I238" t="s">
        <v>10</v>
      </c>
      <c r="J238">
        <f>_xlfn.XLOOKUP(C238,dim_BMI!$C$2:$C$7,dim_BMI!$A$2:$A$7,,1)</f>
        <v>6</v>
      </c>
      <c r="K238" t="str">
        <f>_xlfn.XLOOKUP(C238,dim_BMI!$C$2:$C$7,dim_BMI!$B$2:$B$7,,1)</f>
        <v>40 or higher (Severe Obesity Class 3)</v>
      </c>
    </row>
    <row r="239" spans="1:11" x14ac:dyDescent="0.25">
      <c r="A239" s="1">
        <v>876</v>
      </c>
      <c r="B239">
        <v>23</v>
      </c>
      <c r="C239">
        <v>28.12</v>
      </c>
      <c r="D239">
        <v>0</v>
      </c>
      <c r="E239">
        <f t="shared" si="3"/>
        <v>0</v>
      </c>
      <c r="F239">
        <v>2690.1138000000001</v>
      </c>
      <c r="G239" t="s">
        <v>13</v>
      </c>
      <c r="H239" t="s">
        <v>11</v>
      </c>
      <c r="I239" t="s">
        <v>7</v>
      </c>
      <c r="J239">
        <f>_xlfn.XLOOKUP(C239,dim_BMI!$C$2:$C$7,dim_BMI!$A$2:$A$7,,1)</f>
        <v>3</v>
      </c>
      <c r="K239" t="str">
        <f>_xlfn.XLOOKUP(C239,dim_BMI!$C$2:$C$7,dim_BMI!$B$2:$B$7,,1)</f>
        <v>25.0 to 29.9 (Overweight)</v>
      </c>
    </row>
    <row r="240" spans="1:11" x14ac:dyDescent="0.25">
      <c r="A240" s="1">
        <v>882</v>
      </c>
      <c r="B240">
        <v>23</v>
      </c>
      <c r="C240">
        <v>27.36</v>
      </c>
      <c r="D240">
        <v>1</v>
      </c>
      <c r="E240">
        <f t="shared" si="3"/>
        <v>0</v>
      </c>
      <c r="F240">
        <v>2789.0574000000001</v>
      </c>
      <c r="G240" t="s">
        <v>13</v>
      </c>
      <c r="H240" t="s">
        <v>11</v>
      </c>
      <c r="I240" t="s">
        <v>10</v>
      </c>
      <c r="J240">
        <f>_xlfn.XLOOKUP(C240,dim_BMI!$C$2:$C$7,dim_BMI!$A$2:$A$7,,1)</f>
        <v>3</v>
      </c>
      <c r="K240" t="str">
        <f>_xlfn.XLOOKUP(C240,dim_BMI!$C$2:$C$7,dim_BMI!$B$2:$B$7,,1)</f>
        <v>25.0 to 29.9 (Overweight)</v>
      </c>
    </row>
    <row r="241" spans="1:11" x14ac:dyDescent="0.25">
      <c r="A241" s="1">
        <v>1028</v>
      </c>
      <c r="B241">
        <v>23</v>
      </c>
      <c r="C241">
        <v>18.715</v>
      </c>
      <c r="D241">
        <v>0</v>
      </c>
      <c r="E241">
        <f t="shared" si="3"/>
        <v>0</v>
      </c>
      <c r="F241">
        <v>21595.382290000001</v>
      </c>
      <c r="G241" t="s">
        <v>13</v>
      </c>
      <c r="H241" t="s">
        <v>11</v>
      </c>
      <c r="I241" t="s">
        <v>10</v>
      </c>
      <c r="J241">
        <f>_xlfn.XLOOKUP(C241,dim_BMI!$C$2:$C$7,dim_BMI!$A$2:$A$7,,1)</f>
        <v>2</v>
      </c>
      <c r="K241" t="str">
        <f>_xlfn.XLOOKUP(C241,dim_BMI!$C$2:$C$7,dim_BMI!$B$2:$B$7,,1)</f>
        <v>18.5 to 24.9 (Healthy Weight)</v>
      </c>
    </row>
    <row r="242" spans="1:11" x14ac:dyDescent="0.25">
      <c r="A242" s="1">
        <v>1093</v>
      </c>
      <c r="B242">
        <v>23</v>
      </c>
      <c r="C242">
        <v>32.700000000000003</v>
      </c>
      <c r="D242">
        <v>3</v>
      </c>
      <c r="E242">
        <f t="shared" si="3"/>
        <v>0</v>
      </c>
      <c r="F242">
        <v>3591.48</v>
      </c>
      <c r="G242" t="s">
        <v>9</v>
      </c>
      <c r="H242" t="s">
        <v>11</v>
      </c>
      <c r="I242" t="s">
        <v>10</v>
      </c>
      <c r="J242">
        <f>_xlfn.XLOOKUP(C242,dim_BMI!$C$2:$C$7,dim_BMI!$A$2:$A$7,,1)</f>
        <v>4</v>
      </c>
      <c r="K242" t="str">
        <f>_xlfn.XLOOKUP(C242,dim_BMI!$C$2:$C$7,dim_BMI!$B$2:$B$7,,1)</f>
        <v>30.0 to 34.9 (Obesity Class 1)</v>
      </c>
    </row>
    <row r="243" spans="1:11" x14ac:dyDescent="0.25">
      <c r="A243" s="1">
        <v>1115</v>
      </c>
      <c r="B243">
        <v>23</v>
      </c>
      <c r="C243">
        <v>24.51</v>
      </c>
      <c r="D243">
        <v>0</v>
      </c>
      <c r="E243">
        <f t="shared" si="3"/>
        <v>0</v>
      </c>
      <c r="F243">
        <v>2396.0958999999998</v>
      </c>
      <c r="G243" t="s">
        <v>14</v>
      </c>
      <c r="H243" t="s">
        <v>11</v>
      </c>
      <c r="I243" t="s">
        <v>10</v>
      </c>
      <c r="J243">
        <f>_xlfn.XLOOKUP(C243,dim_BMI!$C$2:$C$7,dim_BMI!$A$2:$A$7,,1)</f>
        <v>2</v>
      </c>
      <c r="K243" t="str">
        <f>_xlfn.XLOOKUP(C243,dim_BMI!$C$2:$C$7,dim_BMI!$B$2:$B$7,,1)</f>
        <v>18.5 to 24.9 (Healthy Weight)</v>
      </c>
    </row>
    <row r="244" spans="1:11" x14ac:dyDescent="0.25">
      <c r="A244" s="1">
        <v>1121</v>
      </c>
      <c r="B244">
        <v>23</v>
      </c>
      <c r="C244">
        <v>31.4</v>
      </c>
      <c r="D244">
        <v>0</v>
      </c>
      <c r="E244">
        <f t="shared" si="3"/>
        <v>1</v>
      </c>
      <c r="F244">
        <v>34166.273000000001</v>
      </c>
      <c r="G244" t="s">
        <v>9</v>
      </c>
      <c r="H244" t="s">
        <v>8</v>
      </c>
      <c r="I244" t="s">
        <v>7</v>
      </c>
      <c r="J244">
        <f>_xlfn.XLOOKUP(C244,dim_BMI!$C$2:$C$7,dim_BMI!$A$2:$A$7,,1)</f>
        <v>4</v>
      </c>
      <c r="K244" t="str">
        <f>_xlfn.XLOOKUP(C244,dim_BMI!$C$2:$C$7,dim_BMI!$B$2:$B$7,,1)</f>
        <v>30.0 to 34.9 (Obesity Class 1)</v>
      </c>
    </row>
    <row r="245" spans="1:11" x14ac:dyDescent="0.25">
      <c r="A245" s="1">
        <v>1125</v>
      </c>
      <c r="B245">
        <v>23</v>
      </c>
      <c r="C245">
        <v>42.75</v>
      </c>
      <c r="D245">
        <v>1</v>
      </c>
      <c r="E245">
        <f t="shared" si="3"/>
        <v>1</v>
      </c>
      <c r="F245">
        <v>40904.199500000002</v>
      </c>
      <c r="G245" t="s">
        <v>14</v>
      </c>
      <c r="H245" t="s">
        <v>8</v>
      </c>
      <c r="I245" t="s">
        <v>7</v>
      </c>
      <c r="J245">
        <f>_xlfn.XLOOKUP(C245,dim_BMI!$C$2:$C$7,dim_BMI!$A$2:$A$7,,1)</f>
        <v>6</v>
      </c>
      <c r="K245" t="str">
        <f>_xlfn.XLOOKUP(C245,dim_BMI!$C$2:$C$7,dim_BMI!$B$2:$B$7,,1)</f>
        <v>40 or higher (Severe Obesity Class 3)</v>
      </c>
    </row>
    <row r="246" spans="1:11" x14ac:dyDescent="0.25">
      <c r="A246" s="1">
        <v>1158</v>
      </c>
      <c r="B246">
        <v>23</v>
      </c>
      <c r="C246">
        <v>23.18</v>
      </c>
      <c r="D246">
        <v>2</v>
      </c>
      <c r="E246">
        <f t="shared" si="3"/>
        <v>0</v>
      </c>
      <c r="F246">
        <v>14426.073850000001</v>
      </c>
      <c r="G246" t="s">
        <v>13</v>
      </c>
      <c r="H246" t="s">
        <v>11</v>
      </c>
      <c r="I246" t="s">
        <v>7</v>
      </c>
      <c r="J246">
        <f>_xlfn.XLOOKUP(C246,dim_BMI!$C$2:$C$7,dim_BMI!$A$2:$A$7,,1)</f>
        <v>2</v>
      </c>
      <c r="K246" t="str">
        <f>_xlfn.XLOOKUP(C246,dim_BMI!$C$2:$C$7,dim_BMI!$B$2:$B$7,,1)</f>
        <v>18.5 to 24.9 (Healthy Weight)</v>
      </c>
    </row>
    <row r="247" spans="1:11" x14ac:dyDescent="0.25">
      <c r="A247" s="1">
        <v>1179</v>
      </c>
      <c r="B247">
        <v>23</v>
      </c>
      <c r="C247">
        <v>34.865000000000002</v>
      </c>
      <c r="D247">
        <v>0</v>
      </c>
      <c r="E247">
        <f t="shared" si="3"/>
        <v>0</v>
      </c>
      <c r="F247">
        <v>2899.4893499999998</v>
      </c>
      <c r="G247" t="s">
        <v>14</v>
      </c>
      <c r="H247" t="s">
        <v>11</v>
      </c>
      <c r="I247" t="s">
        <v>7</v>
      </c>
      <c r="J247">
        <f>_xlfn.XLOOKUP(C247,dim_BMI!$C$2:$C$7,dim_BMI!$A$2:$A$7,,1)</f>
        <v>4</v>
      </c>
      <c r="K247" t="str">
        <f>_xlfn.XLOOKUP(C247,dim_BMI!$C$2:$C$7,dim_BMI!$B$2:$B$7,,1)</f>
        <v>30.0 to 34.9 (Obesity Class 1)</v>
      </c>
    </row>
    <row r="248" spans="1:11" x14ac:dyDescent="0.25">
      <c r="A248" s="1">
        <v>1185</v>
      </c>
      <c r="B248">
        <v>23</v>
      </c>
      <c r="C248">
        <v>28.49</v>
      </c>
      <c r="D248">
        <v>1</v>
      </c>
      <c r="E248">
        <f t="shared" si="3"/>
        <v>1</v>
      </c>
      <c r="F248">
        <v>18328.238099999999</v>
      </c>
      <c r="G248" t="s">
        <v>12</v>
      </c>
      <c r="H248" t="s">
        <v>8</v>
      </c>
      <c r="I248" t="s">
        <v>7</v>
      </c>
      <c r="J248">
        <f>_xlfn.XLOOKUP(C248,dim_BMI!$C$2:$C$7,dim_BMI!$A$2:$A$7,,1)</f>
        <v>3</v>
      </c>
      <c r="K248" t="str">
        <f>_xlfn.XLOOKUP(C248,dim_BMI!$C$2:$C$7,dim_BMI!$B$2:$B$7,,1)</f>
        <v>25.0 to 29.9 (Overweight)</v>
      </c>
    </row>
    <row r="249" spans="1:11" x14ac:dyDescent="0.25">
      <c r="A249" s="1">
        <v>1190</v>
      </c>
      <c r="B249">
        <v>23</v>
      </c>
      <c r="C249">
        <v>28</v>
      </c>
      <c r="D249">
        <v>0</v>
      </c>
      <c r="E249">
        <f t="shared" si="3"/>
        <v>0</v>
      </c>
      <c r="F249">
        <v>13126.677449999999</v>
      </c>
      <c r="G249" t="s">
        <v>9</v>
      </c>
      <c r="H249" t="s">
        <v>11</v>
      </c>
      <c r="I249" t="s">
        <v>7</v>
      </c>
      <c r="J249">
        <f>_xlfn.XLOOKUP(C249,dim_BMI!$C$2:$C$7,dim_BMI!$A$2:$A$7,,1)</f>
        <v>3</v>
      </c>
      <c r="K249" t="str">
        <f>_xlfn.XLOOKUP(C249,dim_BMI!$C$2:$C$7,dim_BMI!$B$2:$B$7,,1)</f>
        <v>25.0 to 29.9 (Overweight)</v>
      </c>
    </row>
    <row r="250" spans="1:11" x14ac:dyDescent="0.25">
      <c r="A250" s="1">
        <v>1329</v>
      </c>
      <c r="B250">
        <v>23</v>
      </c>
      <c r="C250">
        <v>24.225000000000001</v>
      </c>
      <c r="D250">
        <v>2</v>
      </c>
      <c r="E250">
        <f t="shared" si="3"/>
        <v>0</v>
      </c>
      <c r="F250">
        <v>22395.74424</v>
      </c>
      <c r="G250" t="s">
        <v>14</v>
      </c>
      <c r="H250" t="s">
        <v>11</v>
      </c>
      <c r="I250" t="s">
        <v>7</v>
      </c>
      <c r="J250">
        <f>_xlfn.XLOOKUP(C250,dim_BMI!$C$2:$C$7,dim_BMI!$A$2:$A$7,,1)</f>
        <v>2</v>
      </c>
      <c r="K250" t="str">
        <f>_xlfn.XLOOKUP(C250,dim_BMI!$C$2:$C$7,dim_BMI!$B$2:$B$7,,1)</f>
        <v>18.5 to 24.9 (Healthy Weight)</v>
      </c>
    </row>
    <row r="251" spans="1:11" x14ac:dyDescent="0.25">
      <c r="A251" s="1">
        <v>1332</v>
      </c>
      <c r="B251">
        <v>23</v>
      </c>
      <c r="C251">
        <v>33.4</v>
      </c>
      <c r="D251">
        <v>0</v>
      </c>
      <c r="E251">
        <f t="shared" si="3"/>
        <v>0</v>
      </c>
      <c r="F251">
        <v>10795.937330000001</v>
      </c>
      <c r="G251" t="s">
        <v>9</v>
      </c>
      <c r="H251" t="s">
        <v>11</v>
      </c>
      <c r="I251" t="s">
        <v>7</v>
      </c>
      <c r="J251">
        <f>_xlfn.XLOOKUP(C251,dim_BMI!$C$2:$C$7,dim_BMI!$A$2:$A$7,,1)</f>
        <v>4</v>
      </c>
      <c r="K251" t="str">
        <f>_xlfn.XLOOKUP(C251,dim_BMI!$C$2:$C$7,dim_BMI!$B$2:$B$7,,1)</f>
        <v>30.0 to 34.9 (Obesity Class 1)</v>
      </c>
    </row>
    <row r="252" spans="1:11" x14ac:dyDescent="0.25">
      <c r="A252" s="1">
        <v>41</v>
      </c>
      <c r="B252">
        <v>24</v>
      </c>
      <c r="C252">
        <v>26.6</v>
      </c>
      <c r="D252">
        <v>0</v>
      </c>
      <c r="E252">
        <f t="shared" si="3"/>
        <v>0</v>
      </c>
      <c r="F252">
        <v>3046.0619999999999</v>
      </c>
      <c r="G252" t="s">
        <v>14</v>
      </c>
      <c r="H252" t="s">
        <v>11</v>
      </c>
      <c r="I252" t="s">
        <v>7</v>
      </c>
      <c r="J252">
        <f>_xlfn.XLOOKUP(C252,dim_BMI!$C$2:$C$7,dim_BMI!$A$2:$A$7,,1)</f>
        <v>3</v>
      </c>
      <c r="K252" t="str">
        <f>_xlfn.XLOOKUP(C252,dim_BMI!$C$2:$C$7,dim_BMI!$B$2:$B$7,,1)</f>
        <v>25.0 to 29.9 (Overweight)</v>
      </c>
    </row>
    <row r="253" spans="1:11" x14ac:dyDescent="0.25">
      <c r="A253" s="1">
        <v>175</v>
      </c>
      <c r="B253">
        <v>24</v>
      </c>
      <c r="C253">
        <v>33.344999999999999</v>
      </c>
      <c r="D253">
        <v>0</v>
      </c>
      <c r="E253">
        <f t="shared" si="3"/>
        <v>0</v>
      </c>
      <c r="F253">
        <v>2855.4375500000001</v>
      </c>
      <c r="G253" t="s">
        <v>13</v>
      </c>
      <c r="H253" t="s">
        <v>11</v>
      </c>
      <c r="I253" t="s">
        <v>7</v>
      </c>
      <c r="J253">
        <f>_xlfn.XLOOKUP(C253,dim_BMI!$C$2:$C$7,dim_BMI!$A$2:$A$7,,1)</f>
        <v>4</v>
      </c>
      <c r="K253" t="str">
        <f>_xlfn.XLOOKUP(C253,dim_BMI!$C$2:$C$7,dim_BMI!$B$2:$B$7,,1)</f>
        <v>30.0 to 34.9 (Obesity Class 1)</v>
      </c>
    </row>
    <row r="254" spans="1:11" x14ac:dyDescent="0.25">
      <c r="A254" s="1">
        <v>213</v>
      </c>
      <c r="B254">
        <v>24</v>
      </c>
      <c r="C254">
        <v>28.5</v>
      </c>
      <c r="D254">
        <v>2</v>
      </c>
      <c r="E254">
        <f t="shared" si="3"/>
        <v>0</v>
      </c>
      <c r="F254">
        <v>3537.703</v>
      </c>
      <c r="G254" t="s">
        <v>13</v>
      </c>
      <c r="H254" t="s">
        <v>11</v>
      </c>
      <c r="I254" t="s">
        <v>10</v>
      </c>
      <c r="J254">
        <f>_xlfn.XLOOKUP(C254,dim_BMI!$C$2:$C$7,dim_BMI!$A$2:$A$7,,1)</f>
        <v>3</v>
      </c>
      <c r="K254" t="str">
        <f>_xlfn.XLOOKUP(C254,dim_BMI!$C$2:$C$7,dim_BMI!$B$2:$B$7,,1)</f>
        <v>25.0 to 29.9 (Overweight)</v>
      </c>
    </row>
    <row r="255" spans="1:11" x14ac:dyDescent="0.25">
      <c r="A255" s="1">
        <v>220</v>
      </c>
      <c r="B255">
        <v>24</v>
      </c>
      <c r="C255">
        <v>23.21</v>
      </c>
      <c r="D255">
        <v>0</v>
      </c>
      <c r="E255">
        <f t="shared" si="3"/>
        <v>0</v>
      </c>
      <c r="F255">
        <v>25081.76784</v>
      </c>
      <c r="G255" t="s">
        <v>12</v>
      </c>
      <c r="H255" t="s">
        <v>11</v>
      </c>
      <c r="I255" t="s">
        <v>7</v>
      </c>
      <c r="J255">
        <f>_xlfn.XLOOKUP(C255,dim_BMI!$C$2:$C$7,dim_BMI!$A$2:$A$7,,1)</f>
        <v>2</v>
      </c>
      <c r="K255" t="str">
        <f>_xlfn.XLOOKUP(C255,dim_BMI!$C$2:$C$7,dim_BMI!$B$2:$B$7,,1)</f>
        <v>18.5 to 24.9 (Healthy Weight)</v>
      </c>
    </row>
    <row r="256" spans="1:11" x14ac:dyDescent="0.25">
      <c r="A256" s="1">
        <v>248</v>
      </c>
      <c r="B256">
        <v>24</v>
      </c>
      <c r="C256">
        <v>35.86</v>
      </c>
      <c r="D256">
        <v>0</v>
      </c>
      <c r="E256">
        <f t="shared" si="3"/>
        <v>0</v>
      </c>
      <c r="F256">
        <v>1986.9333999999999</v>
      </c>
      <c r="G256" t="s">
        <v>12</v>
      </c>
      <c r="H256" t="s">
        <v>11</v>
      </c>
      <c r="I256" t="s">
        <v>10</v>
      </c>
      <c r="J256">
        <f>_xlfn.XLOOKUP(C256,dim_BMI!$C$2:$C$7,dim_BMI!$A$2:$A$7,,1)</f>
        <v>5</v>
      </c>
      <c r="K256" t="str">
        <f>_xlfn.XLOOKUP(C256,dim_BMI!$C$2:$C$7,dim_BMI!$B$2:$B$7,,1)</f>
        <v>35 to 39.9 (Obesity Class 2)</v>
      </c>
    </row>
    <row r="257" spans="1:11" x14ac:dyDescent="0.25">
      <c r="A257" s="1">
        <v>341</v>
      </c>
      <c r="B257">
        <v>24</v>
      </c>
      <c r="C257">
        <v>27.6</v>
      </c>
      <c r="D257">
        <v>0</v>
      </c>
      <c r="E257">
        <f t="shared" si="3"/>
        <v>0</v>
      </c>
      <c r="F257">
        <v>18955.220170000001</v>
      </c>
      <c r="G257" t="s">
        <v>9</v>
      </c>
      <c r="H257" t="s">
        <v>11</v>
      </c>
      <c r="I257" t="s">
        <v>7</v>
      </c>
      <c r="J257">
        <f>_xlfn.XLOOKUP(C257,dim_BMI!$C$2:$C$7,dim_BMI!$A$2:$A$7,,1)</f>
        <v>3</v>
      </c>
      <c r="K257" t="str">
        <f>_xlfn.XLOOKUP(C257,dim_BMI!$C$2:$C$7,dim_BMI!$B$2:$B$7,,1)</f>
        <v>25.0 to 29.9 (Overweight)</v>
      </c>
    </row>
    <row r="258" spans="1:11" x14ac:dyDescent="0.25">
      <c r="A258" s="1">
        <v>378</v>
      </c>
      <c r="B258">
        <v>24</v>
      </c>
      <c r="C258">
        <v>40.15</v>
      </c>
      <c r="D258">
        <v>0</v>
      </c>
      <c r="E258">
        <f t="shared" si="3"/>
        <v>1</v>
      </c>
      <c r="F258">
        <v>38126.246500000001</v>
      </c>
      <c r="G258" t="s">
        <v>12</v>
      </c>
      <c r="H258" t="s">
        <v>8</v>
      </c>
      <c r="I258" t="s">
        <v>10</v>
      </c>
      <c r="J258">
        <f>_xlfn.XLOOKUP(C258,dim_BMI!$C$2:$C$7,dim_BMI!$A$2:$A$7,,1)</f>
        <v>6</v>
      </c>
      <c r="K258" t="str">
        <f>_xlfn.XLOOKUP(C258,dim_BMI!$C$2:$C$7,dim_BMI!$B$2:$B$7,,1)</f>
        <v>40 or higher (Severe Obesity Class 3)</v>
      </c>
    </row>
    <row r="259" spans="1:11" x14ac:dyDescent="0.25">
      <c r="A259" s="1">
        <v>390</v>
      </c>
      <c r="B259">
        <v>24</v>
      </c>
      <c r="C259">
        <v>30.21</v>
      </c>
      <c r="D259">
        <v>3</v>
      </c>
      <c r="E259">
        <f t="shared" ref="E259:E322" si="4">IF(H259="yes",1,0)</f>
        <v>0</v>
      </c>
      <c r="F259">
        <v>4618.0798999999997</v>
      </c>
      <c r="G259" t="s">
        <v>13</v>
      </c>
      <c r="H259" t="s">
        <v>11</v>
      </c>
      <c r="I259" t="s">
        <v>7</v>
      </c>
      <c r="J259">
        <f>_xlfn.XLOOKUP(C259,dim_BMI!$C$2:$C$7,dim_BMI!$A$2:$A$7,,1)</f>
        <v>4</v>
      </c>
      <c r="K259" t="str">
        <f>_xlfn.XLOOKUP(C259,dim_BMI!$C$2:$C$7,dim_BMI!$B$2:$B$7,,1)</f>
        <v>30.0 to 34.9 (Obesity Class 1)</v>
      </c>
    </row>
    <row r="260" spans="1:11" x14ac:dyDescent="0.25">
      <c r="A260" s="1">
        <v>453</v>
      </c>
      <c r="B260">
        <v>24</v>
      </c>
      <c r="C260">
        <v>23.4</v>
      </c>
      <c r="D260">
        <v>0</v>
      </c>
      <c r="E260">
        <f t="shared" si="4"/>
        <v>0</v>
      </c>
      <c r="F260">
        <v>1969.614</v>
      </c>
      <c r="G260" t="s">
        <v>9</v>
      </c>
      <c r="H260" t="s">
        <v>11</v>
      </c>
      <c r="I260" t="s">
        <v>10</v>
      </c>
      <c r="J260">
        <f>_xlfn.XLOOKUP(C260,dim_BMI!$C$2:$C$7,dim_BMI!$A$2:$A$7,,1)</f>
        <v>2</v>
      </c>
      <c r="K260" t="str">
        <f>_xlfn.XLOOKUP(C260,dim_BMI!$C$2:$C$7,dim_BMI!$B$2:$B$7,,1)</f>
        <v>18.5 to 24.9 (Healthy Weight)</v>
      </c>
    </row>
    <row r="261" spans="1:11" x14ac:dyDescent="0.25">
      <c r="A261" s="1">
        <v>477</v>
      </c>
      <c r="B261">
        <v>24</v>
      </c>
      <c r="C261">
        <v>28.5</v>
      </c>
      <c r="D261">
        <v>0</v>
      </c>
      <c r="E261">
        <f t="shared" si="4"/>
        <v>1</v>
      </c>
      <c r="F261">
        <v>35147.528480000001</v>
      </c>
      <c r="G261" t="s">
        <v>14</v>
      </c>
      <c r="H261" t="s">
        <v>8</v>
      </c>
      <c r="I261" t="s">
        <v>10</v>
      </c>
      <c r="J261">
        <f>_xlfn.XLOOKUP(C261,dim_BMI!$C$2:$C$7,dim_BMI!$A$2:$A$7,,1)</f>
        <v>3</v>
      </c>
      <c r="K261" t="str">
        <f>_xlfn.XLOOKUP(C261,dim_BMI!$C$2:$C$7,dim_BMI!$B$2:$B$7,,1)</f>
        <v>25.0 to 29.9 (Overweight)</v>
      </c>
    </row>
    <row r="262" spans="1:11" x14ac:dyDescent="0.25">
      <c r="A262" s="1">
        <v>509</v>
      </c>
      <c r="B262">
        <v>24</v>
      </c>
      <c r="C262">
        <v>25.27</v>
      </c>
      <c r="D262">
        <v>0</v>
      </c>
      <c r="E262">
        <f t="shared" si="4"/>
        <v>0</v>
      </c>
      <c r="F262">
        <v>3044.2132999999999</v>
      </c>
      <c r="G262" t="s">
        <v>14</v>
      </c>
      <c r="H262" t="s">
        <v>11</v>
      </c>
      <c r="I262" t="s">
        <v>7</v>
      </c>
      <c r="J262">
        <f>_xlfn.XLOOKUP(C262,dim_BMI!$C$2:$C$7,dim_BMI!$A$2:$A$7,,1)</f>
        <v>3</v>
      </c>
      <c r="K262" t="str">
        <f>_xlfn.XLOOKUP(C262,dim_BMI!$C$2:$C$7,dim_BMI!$B$2:$B$7,,1)</f>
        <v>25.0 to 29.9 (Overweight)</v>
      </c>
    </row>
    <row r="263" spans="1:11" x14ac:dyDescent="0.25">
      <c r="A263" s="1">
        <v>632</v>
      </c>
      <c r="B263">
        <v>24</v>
      </c>
      <c r="C263">
        <v>29.3</v>
      </c>
      <c r="D263">
        <v>0</v>
      </c>
      <c r="E263">
        <f t="shared" si="4"/>
        <v>0</v>
      </c>
      <c r="F263">
        <v>1977.8150000000001</v>
      </c>
      <c r="G263" t="s">
        <v>9</v>
      </c>
      <c r="H263" t="s">
        <v>11</v>
      </c>
      <c r="I263" t="s">
        <v>10</v>
      </c>
      <c r="J263">
        <f>_xlfn.XLOOKUP(C263,dim_BMI!$C$2:$C$7,dim_BMI!$A$2:$A$7,,1)</f>
        <v>3</v>
      </c>
      <c r="K263" t="str">
        <f>_xlfn.XLOOKUP(C263,dim_BMI!$C$2:$C$7,dim_BMI!$B$2:$B$7,,1)</f>
        <v>25.0 to 29.9 (Overweight)</v>
      </c>
    </row>
    <row r="264" spans="1:11" x14ac:dyDescent="0.25">
      <c r="A264" s="1">
        <v>694</v>
      </c>
      <c r="B264">
        <v>24</v>
      </c>
      <c r="C264">
        <v>23.655000000000001</v>
      </c>
      <c r="D264">
        <v>0</v>
      </c>
      <c r="E264">
        <f t="shared" si="4"/>
        <v>0</v>
      </c>
      <c r="F264">
        <v>2352.9684499999998</v>
      </c>
      <c r="G264" t="s">
        <v>13</v>
      </c>
      <c r="H264" t="s">
        <v>11</v>
      </c>
      <c r="I264" t="s">
        <v>10</v>
      </c>
      <c r="J264">
        <f>_xlfn.XLOOKUP(C264,dim_BMI!$C$2:$C$7,dim_BMI!$A$2:$A$7,,1)</f>
        <v>2</v>
      </c>
      <c r="K264" t="str">
        <f>_xlfn.XLOOKUP(C264,dim_BMI!$C$2:$C$7,dim_BMI!$B$2:$B$7,,1)</f>
        <v>18.5 to 24.9 (Healthy Weight)</v>
      </c>
    </row>
    <row r="265" spans="1:11" x14ac:dyDescent="0.25">
      <c r="A265" s="1">
        <v>715</v>
      </c>
      <c r="B265">
        <v>24</v>
      </c>
      <c r="C265">
        <v>22.6</v>
      </c>
      <c r="D265">
        <v>0</v>
      </c>
      <c r="E265">
        <f t="shared" si="4"/>
        <v>0</v>
      </c>
      <c r="F265">
        <v>2457.502</v>
      </c>
      <c r="G265" t="s">
        <v>9</v>
      </c>
      <c r="H265" t="s">
        <v>11</v>
      </c>
      <c r="I265" t="s">
        <v>7</v>
      </c>
      <c r="J265">
        <f>_xlfn.XLOOKUP(C265,dim_BMI!$C$2:$C$7,dim_BMI!$A$2:$A$7,,1)</f>
        <v>2</v>
      </c>
      <c r="K265" t="str">
        <f>_xlfn.XLOOKUP(C265,dim_BMI!$C$2:$C$7,dim_BMI!$B$2:$B$7,,1)</f>
        <v>18.5 to 24.9 (Healthy Weight)</v>
      </c>
    </row>
    <row r="266" spans="1:11" x14ac:dyDescent="0.25">
      <c r="A266" s="1">
        <v>733</v>
      </c>
      <c r="B266">
        <v>24</v>
      </c>
      <c r="C266">
        <v>30.1</v>
      </c>
      <c r="D266">
        <v>3</v>
      </c>
      <c r="E266">
        <f t="shared" si="4"/>
        <v>0</v>
      </c>
      <c r="F266">
        <v>4234.9269999999997</v>
      </c>
      <c r="G266" t="s">
        <v>9</v>
      </c>
      <c r="H266" t="s">
        <v>11</v>
      </c>
      <c r="I266" t="s">
        <v>7</v>
      </c>
      <c r="J266">
        <f>_xlfn.XLOOKUP(C266,dim_BMI!$C$2:$C$7,dim_BMI!$A$2:$A$7,,1)</f>
        <v>4</v>
      </c>
      <c r="K266" t="str">
        <f>_xlfn.XLOOKUP(C266,dim_BMI!$C$2:$C$7,dim_BMI!$B$2:$B$7,,1)</f>
        <v>30.0 to 34.9 (Obesity Class 1)</v>
      </c>
    </row>
    <row r="267" spans="1:11" x14ac:dyDescent="0.25">
      <c r="A267" s="1">
        <v>755</v>
      </c>
      <c r="B267">
        <v>24</v>
      </c>
      <c r="C267">
        <v>33.630000000000003</v>
      </c>
      <c r="D267">
        <v>4</v>
      </c>
      <c r="E267">
        <f t="shared" si="4"/>
        <v>0</v>
      </c>
      <c r="F267">
        <v>17128.426080000001</v>
      </c>
      <c r="G267" t="s">
        <v>14</v>
      </c>
      <c r="H267" t="s">
        <v>11</v>
      </c>
      <c r="I267" t="s">
        <v>10</v>
      </c>
      <c r="J267">
        <f>_xlfn.XLOOKUP(C267,dim_BMI!$C$2:$C$7,dim_BMI!$A$2:$A$7,,1)</f>
        <v>4</v>
      </c>
      <c r="K267" t="str">
        <f>_xlfn.XLOOKUP(C267,dim_BMI!$C$2:$C$7,dim_BMI!$B$2:$B$7,,1)</f>
        <v>30.0 to 34.9 (Obesity Class 1)</v>
      </c>
    </row>
    <row r="268" spans="1:11" x14ac:dyDescent="0.25">
      <c r="A268" s="1">
        <v>817</v>
      </c>
      <c r="B268">
        <v>24</v>
      </c>
      <c r="C268">
        <v>24.225000000000001</v>
      </c>
      <c r="D268">
        <v>0</v>
      </c>
      <c r="E268">
        <f t="shared" si="4"/>
        <v>0</v>
      </c>
      <c r="F268">
        <v>2842.7607499999999</v>
      </c>
      <c r="G268" t="s">
        <v>13</v>
      </c>
      <c r="H268" t="s">
        <v>11</v>
      </c>
      <c r="I268" t="s">
        <v>7</v>
      </c>
      <c r="J268">
        <f>_xlfn.XLOOKUP(C268,dim_BMI!$C$2:$C$7,dim_BMI!$A$2:$A$7,,1)</f>
        <v>2</v>
      </c>
      <c r="K268" t="str">
        <f>_xlfn.XLOOKUP(C268,dim_BMI!$C$2:$C$7,dim_BMI!$B$2:$B$7,,1)</f>
        <v>18.5 to 24.9 (Healthy Weight)</v>
      </c>
    </row>
    <row r="269" spans="1:11" x14ac:dyDescent="0.25">
      <c r="A269" s="1">
        <v>916</v>
      </c>
      <c r="B269">
        <v>24</v>
      </c>
      <c r="C269">
        <v>33.99</v>
      </c>
      <c r="D269">
        <v>0</v>
      </c>
      <c r="E269">
        <f t="shared" si="4"/>
        <v>0</v>
      </c>
      <c r="F269">
        <v>2473.3341</v>
      </c>
      <c r="G269" t="s">
        <v>12</v>
      </c>
      <c r="H269" t="s">
        <v>11</v>
      </c>
      <c r="I269" t="s">
        <v>7</v>
      </c>
      <c r="J269">
        <f>_xlfn.XLOOKUP(C269,dim_BMI!$C$2:$C$7,dim_BMI!$A$2:$A$7,,1)</f>
        <v>4</v>
      </c>
      <c r="K269" t="str">
        <f>_xlfn.XLOOKUP(C269,dim_BMI!$C$2:$C$7,dim_BMI!$B$2:$B$7,,1)</f>
        <v>30.0 to 34.9 (Obesity Class 1)</v>
      </c>
    </row>
    <row r="270" spans="1:11" x14ac:dyDescent="0.25">
      <c r="A270" s="1">
        <v>958</v>
      </c>
      <c r="B270">
        <v>24</v>
      </c>
      <c r="C270">
        <v>26.79</v>
      </c>
      <c r="D270">
        <v>1</v>
      </c>
      <c r="E270">
        <f t="shared" si="4"/>
        <v>0</v>
      </c>
      <c r="F270">
        <v>12609.88702</v>
      </c>
      <c r="G270" t="s">
        <v>13</v>
      </c>
      <c r="H270" t="s">
        <v>11</v>
      </c>
      <c r="I270" t="s">
        <v>10</v>
      </c>
      <c r="J270">
        <f>_xlfn.XLOOKUP(C270,dim_BMI!$C$2:$C$7,dim_BMI!$A$2:$A$7,,1)</f>
        <v>3</v>
      </c>
      <c r="K270" t="str">
        <f>_xlfn.XLOOKUP(C270,dim_BMI!$C$2:$C$7,dim_BMI!$B$2:$B$7,,1)</f>
        <v>25.0 to 29.9 (Overweight)</v>
      </c>
    </row>
    <row r="271" spans="1:11" x14ac:dyDescent="0.25">
      <c r="A271" s="1">
        <v>990</v>
      </c>
      <c r="B271">
        <v>24</v>
      </c>
      <c r="C271">
        <v>20.52</v>
      </c>
      <c r="D271">
        <v>0</v>
      </c>
      <c r="E271">
        <f t="shared" si="4"/>
        <v>1</v>
      </c>
      <c r="F271">
        <v>14571.890799999999</v>
      </c>
      <c r="G271" t="s">
        <v>14</v>
      </c>
      <c r="H271" t="s">
        <v>8</v>
      </c>
      <c r="I271" t="s">
        <v>7</v>
      </c>
      <c r="J271">
        <f>_xlfn.XLOOKUP(C271,dim_BMI!$C$2:$C$7,dim_BMI!$A$2:$A$7,,1)</f>
        <v>2</v>
      </c>
      <c r="K271" t="str">
        <f>_xlfn.XLOOKUP(C271,dim_BMI!$C$2:$C$7,dim_BMI!$B$2:$B$7,,1)</f>
        <v>18.5 to 24.9 (Healthy Weight)</v>
      </c>
    </row>
    <row r="272" spans="1:11" x14ac:dyDescent="0.25">
      <c r="A272" s="1">
        <v>1002</v>
      </c>
      <c r="B272">
        <v>24</v>
      </c>
      <c r="C272">
        <v>32.700000000000003</v>
      </c>
      <c r="D272">
        <v>0</v>
      </c>
      <c r="E272">
        <f t="shared" si="4"/>
        <v>1</v>
      </c>
      <c r="F272">
        <v>34472.841</v>
      </c>
      <c r="G272" t="s">
        <v>9</v>
      </c>
      <c r="H272" t="s">
        <v>8</v>
      </c>
      <c r="I272" t="s">
        <v>10</v>
      </c>
      <c r="J272">
        <f>_xlfn.XLOOKUP(C272,dim_BMI!$C$2:$C$7,dim_BMI!$A$2:$A$7,,1)</f>
        <v>4</v>
      </c>
      <c r="K272" t="str">
        <f>_xlfn.XLOOKUP(C272,dim_BMI!$C$2:$C$7,dim_BMI!$B$2:$B$7,,1)</f>
        <v>30.0 to 34.9 (Obesity Class 1)</v>
      </c>
    </row>
    <row r="273" spans="1:11" x14ac:dyDescent="0.25">
      <c r="A273" s="1">
        <v>1003</v>
      </c>
      <c r="B273">
        <v>24</v>
      </c>
      <c r="C273">
        <v>25.8</v>
      </c>
      <c r="D273">
        <v>0</v>
      </c>
      <c r="E273">
        <f t="shared" si="4"/>
        <v>0</v>
      </c>
      <c r="F273">
        <v>1972.95</v>
      </c>
      <c r="G273" t="s">
        <v>9</v>
      </c>
      <c r="H273" t="s">
        <v>11</v>
      </c>
      <c r="I273" t="s">
        <v>10</v>
      </c>
      <c r="J273">
        <f>_xlfn.XLOOKUP(C273,dim_BMI!$C$2:$C$7,dim_BMI!$A$2:$A$7,,1)</f>
        <v>3</v>
      </c>
      <c r="K273" t="str">
        <f>_xlfn.XLOOKUP(C273,dim_BMI!$C$2:$C$7,dim_BMI!$B$2:$B$7,,1)</f>
        <v>25.0 to 29.9 (Overweight)</v>
      </c>
    </row>
    <row r="274" spans="1:11" x14ac:dyDescent="0.25">
      <c r="A274" s="1">
        <v>1059</v>
      </c>
      <c r="B274">
        <v>24</v>
      </c>
      <c r="C274">
        <v>39.49</v>
      </c>
      <c r="D274">
        <v>0</v>
      </c>
      <c r="E274">
        <f t="shared" si="4"/>
        <v>0</v>
      </c>
      <c r="F274">
        <v>2480.9791</v>
      </c>
      <c r="G274" t="s">
        <v>12</v>
      </c>
      <c r="H274" t="s">
        <v>11</v>
      </c>
      <c r="I274" t="s">
        <v>7</v>
      </c>
      <c r="J274">
        <f>_xlfn.XLOOKUP(C274,dim_BMI!$C$2:$C$7,dim_BMI!$A$2:$A$7,,1)</f>
        <v>5</v>
      </c>
      <c r="K274" t="str">
        <f>_xlfn.XLOOKUP(C274,dim_BMI!$C$2:$C$7,dim_BMI!$B$2:$B$7,,1)</f>
        <v>35 to 39.9 (Obesity Class 2)</v>
      </c>
    </row>
    <row r="275" spans="1:11" x14ac:dyDescent="0.25">
      <c r="A275" s="1">
        <v>1061</v>
      </c>
      <c r="B275">
        <v>24</v>
      </c>
      <c r="C275">
        <v>32.01</v>
      </c>
      <c r="D275">
        <v>0</v>
      </c>
      <c r="E275">
        <f t="shared" si="4"/>
        <v>0</v>
      </c>
      <c r="F275">
        <v>1981.5818999999999</v>
      </c>
      <c r="G275" t="s">
        <v>12</v>
      </c>
      <c r="H275" t="s">
        <v>11</v>
      </c>
      <c r="I275" t="s">
        <v>10</v>
      </c>
      <c r="J275">
        <f>_xlfn.XLOOKUP(C275,dim_BMI!$C$2:$C$7,dim_BMI!$A$2:$A$7,,1)</f>
        <v>4</v>
      </c>
      <c r="K275" t="str">
        <f>_xlfn.XLOOKUP(C275,dim_BMI!$C$2:$C$7,dim_BMI!$B$2:$B$7,,1)</f>
        <v>30.0 to 34.9 (Obesity Class 1)</v>
      </c>
    </row>
    <row r="276" spans="1:11" x14ac:dyDescent="0.25">
      <c r="A276" s="1">
        <v>1182</v>
      </c>
      <c r="B276">
        <v>24</v>
      </c>
      <c r="C276">
        <v>29.925000000000001</v>
      </c>
      <c r="D276">
        <v>0</v>
      </c>
      <c r="E276">
        <f t="shared" si="4"/>
        <v>0</v>
      </c>
      <c r="F276">
        <v>2850.6837500000001</v>
      </c>
      <c r="G276" t="s">
        <v>13</v>
      </c>
      <c r="H276" t="s">
        <v>11</v>
      </c>
      <c r="I276" t="s">
        <v>7</v>
      </c>
      <c r="J276">
        <f>_xlfn.XLOOKUP(C276,dim_BMI!$C$2:$C$7,dim_BMI!$A$2:$A$7,,1)</f>
        <v>4</v>
      </c>
      <c r="K276" t="str">
        <f>_xlfn.XLOOKUP(C276,dim_BMI!$C$2:$C$7,dim_BMI!$B$2:$B$7,,1)</f>
        <v>30.0 to 34.9 (Obesity Class 1)</v>
      </c>
    </row>
    <row r="277" spans="1:11" x14ac:dyDescent="0.25">
      <c r="A277" s="1">
        <v>1251</v>
      </c>
      <c r="B277">
        <v>24</v>
      </c>
      <c r="C277">
        <v>29.83</v>
      </c>
      <c r="D277">
        <v>0</v>
      </c>
      <c r="E277">
        <f t="shared" si="4"/>
        <v>1</v>
      </c>
      <c r="F277">
        <v>18648.421699999999</v>
      </c>
      <c r="G277" t="s">
        <v>14</v>
      </c>
      <c r="H277" t="s">
        <v>8</v>
      </c>
      <c r="I277" t="s">
        <v>10</v>
      </c>
      <c r="J277">
        <f>_xlfn.XLOOKUP(C277,dim_BMI!$C$2:$C$7,dim_BMI!$A$2:$A$7,,1)</f>
        <v>3</v>
      </c>
      <c r="K277" t="str">
        <f>_xlfn.XLOOKUP(C277,dim_BMI!$C$2:$C$7,dim_BMI!$B$2:$B$7,,1)</f>
        <v>25.0 to 29.9 (Overweight)</v>
      </c>
    </row>
    <row r="278" spans="1:11" x14ac:dyDescent="0.25">
      <c r="A278" s="1">
        <v>1268</v>
      </c>
      <c r="B278">
        <v>24</v>
      </c>
      <c r="C278">
        <v>31.065000000000001</v>
      </c>
      <c r="D278">
        <v>0</v>
      </c>
      <c r="E278">
        <f t="shared" si="4"/>
        <v>1</v>
      </c>
      <c r="F278">
        <v>34254.053350000002</v>
      </c>
      <c r="G278" t="s">
        <v>14</v>
      </c>
      <c r="H278" t="s">
        <v>8</v>
      </c>
      <c r="I278" t="s">
        <v>10</v>
      </c>
      <c r="J278">
        <f>_xlfn.XLOOKUP(C278,dim_BMI!$C$2:$C$7,dim_BMI!$A$2:$A$7,,1)</f>
        <v>4</v>
      </c>
      <c r="K278" t="str">
        <f>_xlfn.XLOOKUP(C278,dim_BMI!$C$2:$C$7,dim_BMI!$B$2:$B$7,,1)</f>
        <v>30.0 to 34.9 (Obesity Class 1)</v>
      </c>
    </row>
    <row r="279" spans="1:11" x14ac:dyDescent="0.25">
      <c r="A279" s="1">
        <v>1306</v>
      </c>
      <c r="B279">
        <v>24</v>
      </c>
      <c r="C279">
        <v>27.72</v>
      </c>
      <c r="D279">
        <v>0</v>
      </c>
      <c r="E279">
        <f t="shared" si="4"/>
        <v>0</v>
      </c>
      <c r="F279">
        <v>2464.6188000000002</v>
      </c>
      <c r="G279" t="s">
        <v>12</v>
      </c>
      <c r="H279" t="s">
        <v>11</v>
      </c>
      <c r="I279" t="s">
        <v>7</v>
      </c>
      <c r="J279">
        <f>_xlfn.XLOOKUP(C279,dim_BMI!$C$2:$C$7,dim_BMI!$A$2:$A$7,,1)</f>
        <v>3</v>
      </c>
      <c r="K279" t="str">
        <f>_xlfn.XLOOKUP(C279,dim_BMI!$C$2:$C$7,dim_BMI!$B$2:$B$7,,1)</f>
        <v>25.0 to 29.9 (Overweight)</v>
      </c>
    </row>
    <row r="280" spans="1:11" x14ac:dyDescent="0.25">
      <c r="A280" s="1">
        <v>11</v>
      </c>
      <c r="B280">
        <v>25</v>
      </c>
      <c r="C280">
        <v>26.22</v>
      </c>
      <c r="D280">
        <v>0</v>
      </c>
      <c r="E280">
        <f t="shared" si="4"/>
        <v>0</v>
      </c>
      <c r="F280">
        <v>2721.3208</v>
      </c>
      <c r="G280" t="s">
        <v>14</v>
      </c>
      <c r="H280" t="s">
        <v>11</v>
      </c>
      <c r="I280" t="s">
        <v>10</v>
      </c>
      <c r="J280">
        <f>_xlfn.XLOOKUP(C280,dim_BMI!$C$2:$C$7,dim_BMI!$A$2:$A$7,,1)</f>
        <v>3</v>
      </c>
      <c r="K280" t="str">
        <f>_xlfn.XLOOKUP(C280,dim_BMI!$C$2:$C$7,dim_BMI!$B$2:$B$7,,1)</f>
        <v>25.0 to 29.9 (Overweight)</v>
      </c>
    </row>
    <row r="281" spans="1:11" x14ac:dyDescent="0.25">
      <c r="A281" s="1">
        <v>62</v>
      </c>
      <c r="B281">
        <v>25</v>
      </c>
      <c r="C281">
        <v>33.659999999999997</v>
      </c>
      <c r="D281">
        <v>4</v>
      </c>
      <c r="E281">
        <f t="shared" si="4"/>
        <v>0</v>
      </c>
      <c r="F281">
        <v>4504.6624000000002</v>
      </c>
      <c r="G281" t="s">
        <v>12</v>
      </c>
      <c r="H281" t="s">
        <v>11</v>
      </c>
      <c r="I281" t="s">
        <v>10</v>
      </c>
      <c r="J281">
        <f>_xlfn.XLOOKUP(C281,dim_BMI!$C$2:$C$7,dim_BMI!$A$2:$A$7,,1)</f>
        <v>4</v>
      </c>
      <c r="K281" t="str">
        <f>_xlfn.XLOOKUP(C281,dim_BMI!$C$2:$C$7,dim_BMI!$B$2:$B$7,,1)</f>
        <v>30.0 to 34.9 (Obesity Class 1)</v>
      </c>
    </row>
    <row r="282" spans="1:11" x14ac:dyDescent="0.25">
      <c r="A282" s="1">
        <v>193</v>
      </c>
      <c r="B282">
        <v>25</v>
      </c>
      <c r="C282">
        <v>25.74</v>
      </c>
      <c r="D282">
        <v>0</v>
      </c>
      <c r="E282">
        <f t="shared" si="4"/>
        <v>0</v>
      </c>
      <c r="F282">
        <v>2137.6536000000001</v>
      </c>
      <c r="G282" t="s">
        <v>12</v>
      </c>
      <c r="H282" t="s">
        <v>11</v>
      </c>
      <c r="I282" t="s">
        <v>10</v>
      </c>
      <c r="J282">
        <f>_xlfn.XLOOKUP(C282,dim_BMI!$C$2:$C$7,dim_BMI!$A$2:$A$7,,1)</f>
        <v>3</v>
      </c>
      <c r="K282" t="str">
        <f>_xlfn.XLOOKUP(C282,dim_BMI!$C$2:$C$7,dim_BMI!$B$2:$B$7,,1)</f>
        <v>25.0 to 29.9 (Overweight)</v>
      </c>
    </row>
    <row r="283" spans="1:11" x14ac:dyDescent="0.25">
      <c r="A283" s="1">
        <v>275</v>
      </c>
      <c r="B283">
        <v>25</v>
      </c>
      <c r="C283">
        <v>27.55</v>
      </c>
      <c r="D283">
        <v>0</v>
      </c>
      <c r="E283">
        <f t="shared" si="4"/>
        <v>0</v>
      </c>
      <c r="F283">
        <v>2523.1695</v>
      </c>
      <c r="G283" t="s">
        <v>13</v>
      </c>
      <c r="H283" t="s">
        <v>11</v>
      </c>
      <c r="I283" t="s">
        <v>10</v>
      </c>
      <c r="J283">
        <f>_xlfn.XLOOKUP(C283,dim_BMI!$C$2:$C$7,dim_BMI!$A$2:$A$7,,1)</f>
        <v>3</v>
      </c>
      <c r="K283" t="str">
        <f>_xlfn.XLOOKUP(C283,dim_BMI!$C$2:$C$7,dim_BMI!$B$2:$B$7,,1)</f>
        <v>25.0 to 29.9 (Overweight)</v>
      </c>
    </row>
    <row r="284" spans="1:11" x14ac:dyDescent="0.25">
      <c r="A284" s="1">
        <v>293</v>
      </c>
      <c r="B284">
        <v>25</v>
      </c>
      <c r="C284">
        <v>45.54</v>
      </c>
      <c r="D284">
        <v>2</v>
      </c>
      <c r="E284">
        <f t="shared" si="4"/>
        <v>1</v>
      </c>
      <c r="F284">
        <v>42112.2356</v>
      </c>
      <c r="G284" t="s">
        <v>12</v>
      </c>
      <c r="H284" t="s">
        <v>8</v>
      </c>
      <c r="I284" t="s">
        <v>10</v>
      </c>
      <c r="J284">
        <f>_xlfn.XLOOKUP(C284,dim_BMI!$C$2:$C$7,dim_BMI!$A$2:$A$7,,1)</f>
        <v>6</v>
      </c>
      <c r="K284" t="str">
        <f>_xlfn.XLOOKUP(C284,dim_BMI!$C$2:$C$7,dim_BMI!$B$2:$B$7,,1)</f>
        <v>40 or higher (Severe Obesity Class 3)</v>
      </c>
    </row>
    <row r="285" spans="1:11" x14ac:dyDescent="0.25">
      <c r="A285" s="1">
        <v>295</v>
      </c>
      <c r="B285">
        <v>25</v>
      </c>
      <c r="C285">
        <v>26.8</v>
      </c>
      <c r="D285">
        <v>3</v>
      </c>
      <c r="E285">
        <f t="shared" si="4"/>
        <v>0</v>
      </c>
      <c r="F285">
        <v>3906.127</v>
      </c>
      <c r="G285" t="s">
        <v>9</v>
      </c>
      <c r="H285" t="s">
        <v>11</v>
      </c>
      <c r="I285" t="s">
        <v>10</v>
      </c>
      <c r="J285">
        <f>_xlfn.XLOOKUP(C285,dim_BMI!$C$2:$C$7,dim_BMI!$A$2:$A$7,,1)</f>
        <v>3</v>
      </c>
      <c r="K285" t="str">
        <f>_xlfn.XLOOKUP(C285,dim_BMI!$C$2:$C$7,dim_BMI!$B$2:$B$7,,1)</f>
        <v>25.0 to 29.9 (Overweight)</v>
      </c>
    </row>
    <row r="286" spans="1:11" x14ac:dyDescent="0.25">
      <c r="A286" s="1">
        <v>414</v>
      </c>
      <c r="B286">
        <v>25</v>
      </c>
      <c r="C286">
        <v>23.9</v>
      </c>
      <c r="D286">
        <v>5</v>
      </c>
      <c r="E286">
        <f t="shared" si="4"/>
        <v>0</v>
      </c>
      <c r="F286">
        <v>5080.0959999999995</v>
      </c>
      <c r="G286" t="s">
        <v>9</v>
      </c>
      <c r="H286" t="s">
        <v>11</v>
      </c>
      <c r="I286" t="s">
        <v>10</v>
      </c>
      <c r="J286">
        <f>_xlfn.XLOOKUP(C286,dim_BMI!$C$2:$C$7,dim_BMI!$A$2:$A$7,,1)</f>
        <v>2</v>
      </c>
      <c r="K286" t="str">
        <f>_xlfn.XLOOKUP(C286,dim_BMI!$C$2:$C$7,dim_BMI!$B$2:$B$7,,1)</f>
        <v>18.5 to 24.9 (Healthy Weight)</v>
      </c>
    </row>
    <row r="287" spans="1:11" x14ac:dyDescent="0.25">
      <c r="A287" s="1">
        <v>424</v>
      </c>
      <c r="B287">
        <v>25</v>
      </c>
      <c r="C287">
        <v>30.59</v>
      </c>
      <c r="D287">
        <v>0</v>
      </c>
      <c r="E287">
        <f t="shared" si="4"/>
        <v>0</v>
      </c>
      <c r="F287">
        <v>2727.3951000000002</v>
      </c>
      <c r="G287" t="s">
        <v>14</v>
      </c>
      <c r="H287" t="s">
        <v>11</v>
      </c>
      <c r="I287" t="s">
        <v>10</v>
      </c>
      <c r="J287">
        <f>_xlfn.XLOOKUP(C287,dim_BMI!$C$2:$C$7,dim_BMI!$A$2:$A$7,,1)</f>
        <v>4</v>
      </c>
      <c r="K287" t="str">
        <f>_xlfn.XLOOKUP(C287,dim_BMI!$C$2:$C$7,dim_BMI!$B$2:$B$7,,1)</f>
        <v>30.0 to 34.9 (Obesity Class 1)</v>
      </c>
    </row>
    <row r="288" spans="1:11" x14ac:dyDescent="0.25">
      <c r="A288" s="1">
        <v>478</v>
      </c>
      <c r="B288">
        <v>25</v>
      </c>
      <c r="C288">
        <v>35.625</v>
      </c>
      <c r="D288">
        <v>0</v>
      </c>
      <c r="E288">
        <f t="shared" si="4"/>
        <v>0</v>
      </c>
      <c r="F288">
        <v>2534.3937500000002</v>
      </c>
      <c r="G288" t="s">
        <v>13</v>
      </c>
      <c r="H288" t="s">
        <v>11</v>
      </c>
      <c r="I288" t="s">
        <v>10</v>
      </c>
      <c r="J288">
        <f>_xlfn.XLOOKUP(C288,dim_BMI!$C$2:$C$7,dim_BMI!$A$2:$A$7,,1)</f>
        <v>5</v>
      </c>
      <c r="K288" t="str">
        <f>_xlfn.XLOOKUP(C288,dim_BMI!$C$2:$C$7,dim_BMI!$B$2:$B$7,,1)</f>
        <v>35 to 39.9 (Obesity Class 2)</v>
      </c>
    </row>
    <row r="289" spans="1:11" x14ac:dyDescent="0.25">
      <c r="A289" s="1">
        <v>549</v>
      </c>
      <c r="B289">
        <v>25</v>
      </c>
      <c r="C289">
        <v>28.594999999999999</v>
      </c>
      <c r="D289">
        <v>0</v>
      </c>
      <c r="E289">
        <f t="shared" si="4"/>
        <v>0</v>
      </c>
      <c r="F289">
        <v>3213.6220499999999</v>
      </c>
      <c r="G289" t="s">
        <v>14</v>
      </c>
      <c r="H289" t="s">
        <v>11</v>
      </c>
      <c r="I289" t="s">
        <v>7</v>
      </c>
      <c r="J289">
        <f>_xlfn.XLOOKUP(C289,dim_BMI!$C$2:$C$7,dim_BMI!$A$2:$A$7,,1)</f>
        <v>3</v>
      </c>
      <c r="K289" t="str">
        <f>_xlfn.XLOOKUP(C289,dim_BMI!$C$2:$C$7,dim_BMI!$B$2:$B$7,,1)</f>
        <v>25.0 to 29.9 (Overweight)</v>
      </c>
    </row>
    <row r="290" spans="1:11" x14ac:dyDescent="0.25">
      <c r="A290" s="1">
        <v>555</v>
      </c>
      <c r="B290">
        <v>25</v>
      </c>
      <c r="C290">
        <v>41.325000000000003</v>
      </c>
      <c r="D290">
        <v>0</v>
      </c>
      <c r="E290">
        <f t="shared" si="4"/>
        <v>0</v>
      </c>
      <c r="F290">
        <v>17878.900679999999</v>
      </c>
      <c r="G290" t="s">
        <v>14</v>
      </c>
      <c r="H290" t="s">
        <v>11</v>
      </c>
      <c r="I290" t="s">
        <v>7</v>
      </c>
      <c r="J290">
        <f>_xlfn.XLOOKUP(C290,dim_BMI!$C$2:$C$7,dim_BMI!$A$2:$A$7,,1)</f>
        <v>6</v>
      </c>
      <c r="K290" t="str">
        <f>_xlfn.XLOOKUP(C290,dim_BMI!$C$2:$C$7,dim_BMI!$B$2:$B$7,,1)</f>
        <v>40 or higher (Severe Obesity Class 3)</v>
      </c>
    </row>
    <row r="291" spans="1:11" x14ac:dyDescent="0.25">
      <c r="A291" s="1">
        <v>580</v>
      </c>
      <c r="B291">
        <v>25</v>
      </c>
      <c r="C291">
        <v>23.465</v>
      </c>
      <c r="D291">
        <v>0</v>
      </c>
      <c r="E291">
        <f t="shared" si="4"/>
        <v>0</v>
      </c>
      <c r="F291">
        <v>3206.4913499999998</v>
      </c>
      <c r="G291" t="s">
        <v>14</v>
      </c>
      <c r="H291" t="s">
        <v>11</v>
      </c>
      <c r="I291" t="s">
        <v>7</v>
      </c>
      <c r="J291">
        <f>_xlfn.XLOOKUP(C291,dim_BMI!$C$2:$C$7,dim_BMI!$A$2:$A$7,,1)</f>
        <v>2</v>
      </c>
      <c r="K291" t="str">
        <f>_xlfn.XLOOKUP(C291,dim_BMI!$C$2:$C$7,dim_BMI!$B$2:$B$7,,1)</f>
        <v>18.5 to 24.9 (Healthy Weight)</v>
      </c>
    </row>
    <row r="292" spans="1:11" x14ac:dyDescent="0.25">
      <c r="A292" s="1">
        <v>810</v>
      </c>
      <c r="B292">
        <v>25</v>
      </c>
      <c r="C292">
        <v>25.84</v>
      </c>
      <c r="D292">
        <v>1</v>
      </c>
      <c r="E292">
        <f t="shared" si="4"/>
        <v>0</v>
      </c>
      <c r="F292">
        <v>3309.7926000000002</v>
      </c>
      <c r="G292" t="s">
        <v>14</v>
      </c>
      <c r="H292" t="s">
        <v>11</v>
      </c>
      <c r="I292" t="s">
        <v>10</v>
      </c>
      <c r="J292">
        <f>_xlfn.XLOOKUP(C292,dim_BMI!$C$2:$C$7,dim_BMI!$A$2:$A$7,,1)</f>
        <v>3</v>
      </c>
      <c r="K292" t="str">
        <f>_xlfn.XLOOKUP(C292,dim_BMI!$C$2:$C$7,dim_BMI!$B$2:$B$7,,1)</f>
        <v>25.0 to 29.9 (Overweight)</v>
      </c>
    </row>
    <row r="293" spans="1:11" x14ac:dyDescent="0.25">
      <c r="A293" s="1">
        <v>858</v>
      </c>
      <c r="B293">
        <v>25</v>
      </c>
      <c r="C293">
        <v>24.13</v>
      </c>
      <c r="D293">
        <v>0</v>
      </c>
      <c r="E293">
        <f t="shared" si="4"/>
        <v>1</v>
      </c>
      <c r="F293">
        <v>15817.985699999999</v>
      </c>
      <c r="G293" t="s">
        <v>13</v>
      </c>
      <c r="H293" t="s">
        <v>8</v>
      </c>
      <c r="I293" t="s">
        <v>10</v>
      </c>
      <c r="J293">
        <f>_xlfn.XLOOKUP(C293,dim_BMI!$C$2:$C$7,dim_BMI!$A$2:$A$7,,1)</f>
        <v>2</v>
      </c>
      <c r="K293" t="str">
        <f>_xlfn.XLOOKUP(C293,dim_BMI!$C$2:$C$7,dim_BMI!$B$2:$B$7,,1)</f>
        <v>18.5 to 24.9 (Healthy Weight)</v>
      </c>
    </row>
    <row r="294" spans="1:11" x14ac:dyDescent="0.25">
      <c r="A294" s="1">
        <v>859</v>
      </c>
      <c r="B294">
        <v>25</v>
      </c>
      <c r="C294">
        <v>32.229999999999997</v>
      </c>
      <c r="D294">
        <v>1</v>
      </c>
      <c r="E294">
        <f t="shared" si="4"/>
        <v>0</v>
      </c>
      <c r="F294">
        <v>18218.161390000001</v>
      </c>
      <c r="G294" t="s">
        <v>12</v>
      </c>
      <c r="H294" t="s">
        <v>11</v>
      </c>
      <c r="I294" t="s">
        <v>7</v>
      </c>
      <c r="J294">
        <f>_xlfn.XLOOKUP(C294,dim_BMI!$C$2:$C$7,dim_BMI!$A$2:$A$7,,1)</f>
        <v>4</v>
      </c>
      <c r="K294" t="str">
        <f>_xlfn.XLOOKUP(C294,dim_BMI!$C$2:$C$7,dim_BMI!$B$2:$B$7,,1)</f>
        <v>30.0 to 34.9 (Obesity Class 1)</v>
      </c>
    </row>
    <row r="295" spans="1:11" x14ac:dyDescent="0.25">
      <c r="A295" s="1">
        <v>870</v>
      </c>
      <c r="B295">
        <v>25</v>
      </c>
      <c r="C295">
        <v>24.3</v>
      </c>
      <c r="D295">
        <v>3</v>
      </c>
      <c r="E295">
        <f t="shared" si="4"/>
        <v>0</v>
      </c>
      <c r="F295">
        <v>4391.652</v>
      </c>
      <c r="G295" t="s">
        <v>9</v>
      </c>
      <c r="H295" t="s">
        <v>11</v>
      </c>
      <c r="I295" t="s">
        <v>7</v>
      </c>
      <c r="J295">
        <f>_xlfn.XLOOKUP(C295,dim_BMI!$C$2:$C$7,dim_BMI!$A$2:$A$7,,1)</f>
        <v>2</v>
      </c>
      <c r="K295" t="str">
        <f>_xlfn.XLOOKUP(C295,dim_BMI!$C$2:$C$7,dim_BMI!$B$2:$B$7,,1)</f>
        <v>18.5 to 24.9 (Healthy Weight)</v>
      </c>
    </row>
    <row r="296" spans="1:11" x14ac:dyDescent="0.25">
      <c r="A296" s="1">
        <v>885</v>
      </c>
      <c r="B296">
        <v>25</v>
      </c>
      <c r="C296">
        <v>26.695</v>
      </c>
      <c r="D296">
        <v>4</v>
      </c>
      <c r="E296">
        <f t="shared" si="4"/>
        <v>0</v>
      </c>
      <c r="F296">
        <v>4877.9810500000003</v>
      </c>
      <c r="G296" t="s">
        <v>13</v>
      </c>
      <c r="H296" t="s">
        <v>11</v>
      </c>
      <c r="I296" t="s">
        <v>10</v>
      </c>
      <c r="J296">
        <f>_xlfn.XLOOKUP(C296,dim_BMI!$C$2:$C$7,dim_BMI!$A$2:$A$7,,1)</f>
        <v>3</v>
      </c>
      <c r="K296" t="str">
        <f>_xlfn.XLOOKUP(C296,dim_BMI!$C$2:$C$7,dim_BMI!$B$2:$B$7,,1)</f>
        <v>25.0 to 29.9 (Overweight)</v>
      </c>
    </row>
    <row r="297" spans="1:11" x14ac:dyDescent="0.25">
      <c r="A297" s="1">
        <v>950</v>
      </c>
      <c r="B297">
        <v>25</v>
      </c>
      <c r="C297">
        <v>29.7</v>
      </c>
      <c r="D297">
        <v>3</v>
      </c>
      <c r="E297">
        <f t="shared" si="4"/>
        <v>1</v>
      </c>
      <c r="F297">
        <v>19933.457999999999</v>
      </c>
      <c r="G297" t="s">
        <v>9</v>
      </c>
      <c r="H297" t="s">
        <v>8</v>
      </c>
      <c r="I297" t="s">
        <v>10</v>
      </c>
      <c r="J297">
        <f>_xlfn.XLOOKUP(C297,dim_BMI!$C$2:$C$7,dim_BMI!$A$2:$A$7,,1)</f>
        <v>3</v>
      </c>
      <c r="K297" t="str">
        <f>_xlfn.XLOOKUP(C297,dim_BMI!$C$2:$C$7,dim_BMI!$B$2:$B$7,,1)</f>
        <v>25.0 to 29.9 (Overweight)</v>
      </c>
    </row>
    <row r="298" spans="1:11" x14ac:dyDescent="0.25">
      <c r="A298" s="1">
        <v>1009</v>
      </c>
      <c r="B298">
        <v>25</v>
      </c>
      <c r="C298">
        <v>24.984999999999999</v>
      </c>
      <c r="D298">
        <v>2</v>
      </c>
      <c r="E298">
        <f t="shared" si="4"/>
        <v>0</v>
      </c>
      <c r="F298">
        <v>23241.47453</v>
      </c>
      <c r="G298" t="s">
        <v>14</v>
      </c>
      <c r="H298" t="s">
        <v>11</v>
      </c>
      <c r="I298" t="s">
        <v>10</v>
      </c>
      <c r="J298">
        <f>_xlfn.XLOOKUP(C298,dim_BMI!$C$2:$C$7,dim_BMI!$A$2:$A$7,,1)</f>
        <v>3</v>
      </c>
      <c r="K298" t="str">
        <f>_xlfn.XLOOKUP(C298,dim_BMI!$C$2:$C$7,dim_BMI!$B$2:$B$7,,1)</f>
        <v>25.0 to 29.9 (Overweight)</v>
      </c>
    </row>
    <row r="299" spans="1:11" x14ac:dyDescent="0.25">
      <c r="A299" s="1">
        <v>1049</v>
      </c>
      <c r="B299">
        <v>25</v>
      </c>
      <c r="C299">
        <v>22.515000000000001</v>
      </c>
      <c r="D299">
        <v>1</v>
      </c>
      <c r="E299">
        <f t="shared" si="4"/>
        <v>0</v>
      </c>
      <c r="F299">
        <v>3594.17085</v>
      </c>
      <c r="G299" t="s">
        <v>13</v>
      </c>
      <c r="H299" t="s">
        <v>11</v>
      </c>
      <c r="I299" t="s">
        <v>7</v>
      </c>
      <c r="J299">
        <f>_xlfn.XLOOKUP(C299,dim_BMI!$C$2:$C$7,dim_BMI!$A$2:$A$7,,1)</f>
        <v>2</v>
      </c>
      <c r="K299" t="str">
        <f>_xlfn.XLOOKUP(C299,dim_BMI!$C$2:$C$7,dim_BMI!$B$2:$B$7,,1)</f>
        <v>18.5 to 24.9 (Healthy Weight)</v>
      </c>
    </row>
    <row r="300" spans="1:11" x14ac:dyDescent="0.25">
      <c r="A300" s="1">
        <v>1100</v>
      </c>
      <c r="B300">
        <v>25</v>
      </c>
      <c r="C300">
        <v>33.99</v>
      </c>
      <c r="D300">
        <v>1</v>
      </c>
      <c r="E300">
        <f t="shared" si="4"/>
        <v>0</v>
      </c>
      <c r="F300">
        <v>3227.1210999999998</v>
      </c>
      <c r="G300" t="s">
        <v>12</v>
      </c>
      <c r="H300" t="s">
        <v>11</v>
      </c>
      <c r="I300" t="s">
        <v>7</v>
      </c>
      <c r="J300">
        <f>_xlfn.XLOOKUP(C300,dim_BMI!$C$2:$C$7,dim_BMI!$A$2:$A$7,,1)</f>
        <v>4</v>
      </c>
      <c r="K300" t="str">
        <f>_xlfn.XLOOKUP(C300,dim_BMI!$C$2:$C$7,dim_BMI!$B$2:$B$7,,1)</f>
        <v>30.0 to 34.9 (Obesity Class 1)</v>
      </c>
    </row>
    <row r="301" spans="1:11" x14ac:dyDescent="0.25">
      <c r="A301" s="1">
        <v>1118</v>
      </c>
      <c r="B301">
        <v>25</v>
      </c>
      <c r="C301">
        <v>33.33</v>
      </c>
      <c r="D301">
        <v>2</v>
      </c>
      <c r="E301">
        <f t="shared" si="4"/>
        <v>1</v>
      </c>
      <c r="F301">
        <v>36124.573700000001</v>
      </c>
      <c r="G301" t="s">
        <v>12</v>
      </c>
      <c r="H301" t="s">
        <v>8</v>
      </c>
      <c r="I301" t="s">
        <v>10</v>
      </c>
      <c r="J301">
        <f>_xlfn.XLOOKUP(C301,dim_BMI!$C$2:$C$7,dim_BMI!$A$2:$A$7,,1)</f>
        <v>4</v>
      </c>
      <c r="K301" t="str">
        <f>_xlfn.XLOOKUP(C301,dim_BMI!$C$2:$C$7,dim_BMI!$B$2:$B$7,,1)</f>
        <v>30.0 to 34.9 (Obesity Class 1)</v>
      </c>
    </row>
    <row r="302" spans="1:11" x14ac:dyDescent="0.25">
      <c r="A302" s="1">
        <v>1183</v>
      </c>
      <c r="B302">
        <v>25</v>
      </c>
      <c r="C302">
        <v>30.3</v>
      </c>
      <c r="D302">
        <v>0</v>
      </c>
      <c r="E302">
        <f t="shared" si="4"/>
        <v>0</v>
      </c>
      <c r="F302">
        <v>2632.9920000000002</v>
      </c>
      <c r="G302" t="s">
        <v>9</v>
      </c>
      <c r="H302" t="s">
        <v>11</v>
      </c>
      <c r="I302" t="s">
        <v>7</v>
      </c>
      <c r="J302">
        <f>_xlfn.XLOOKUP(C302,dim_BMI!$C$2:$C$7,dim_BMI!$A$2:$A$7,,1)</f>
        <v>4</v>
      </c>
      <c r="K302" t="str">
        <f>_xlfn.XLOOKUP(C302,dim_BMI!$C$2:$C$7,dim_BMI!$B$2:$B$7,,1)</f>
        <v>30.0 to 34.9 (Obesity Class 1)</v>
      </c>
    </row>
    <row r="303" spans="1:11" x14ac:dyDescent="0.25">
      <c r="A303" s="1">
        <v>1240</v>
      </c>
      <c r="B303">
        <v>25</v>
      </c>
      <c r="C303">
        <v>42.13</v>
      </c>
      <c r="D303">
        <v>1</v>
      </c>
      <c r="E303">
        <f t="shared" si="4"/>
        <v>0</v>
      </c>
      <c r="F303">
        <v>3238.4357</v>
      </c>
      <c r="G303" t="s">
        <v>12</v>
      </c>
      <c r="H303" t="s">
        <v>11</v>
      </c>
      <c r="I303" t="s">
        <v>7</v>
      </c>
      <c r="J303">
        <f>_xlfn.XLOOKUP(C303,dim_BMI!$C$2:$C$7,dim_BMI!$A$2:$A$7,,1)</f>
        <v>6</v>
      </c>
      <c r="K303" t="str">
        <f>_xlfn.XLOOKUP(C303,dim_BMI!$C$2:$C$7,dim_BMI!$B$2:$B$7,,1)</f>
        <v>40 or higher (Severe Obesity Class 3)</v>
      </c>
    </row>
    <row r="304" spans="1:11" x14ac:dyDescent="0.25">
      <c r="A304" s="1">
        <v>1272</v>
      </c>
      <c r="B304">
        <v>25</v>
      </c>
      <c r="C304">
        <v>34.484999999999999</v>
      </c>
      <c r="D304">
        <v>0</v>
      </c>
      <c r="E304">
        <f t="shared" si="4"/>
        <v>0</v>
      </c>
      <c r="F304">
        <v>3021.80915</v>
      </c>
      <c r="G304" t="s">
        <v>13</v>
      </c>
      <c r="H304" t="s">
        <v>11</v>
      </c>
      <c r="I304" t="s">
        <v>7</v>
      </c>
      <c r="J304">
        <f>_xlfn.XLOOKUP(C304,dim_BMI!$C$2:$C$7,dim_BMI!$A$2:$A$7,,1)</f>
        <v>4</v>
      </c>
      <c r="K304" t="str">
        <f>_xlfn.XLOOKUP(C304,dim_BMI!$C$2:$C$7,dim_BMI!$B$2:$B$7,,1)</f>
        <v>30.0 to 34.9 (Obesity Class 1)</v>
      </c>
    </row>
    <row r="305" spans="1:11" x14ac:dyDescent="0.25">
      <c r="A305" s="1">
        <v>1280</v>
      </c>
      <c r="B305">
        <v>25</v>
      </c>
      <c r="C305">
        <v>26.79</v>
      </c>
      <c r="D305">
        <v>2</v>
      </c>
      <c r="E305">
        <f t="shared" si="4"/>
        <v>0</v>
      </c>
      <c r="F305">
        <v>4189.1130999999996</v>
      </c>
      <c r="G305" t="s">
        <v>13</v>
      </c>
      <c r="H305" t="s">
        <v>11</v>
      </c>
      <c r="I305" t="s">
        <v>7</v>
      </c>
      <c r="J305">
        <f>_xlfn.XLOOKUP(C305,dim_BMI!$C$2:$C$7,dim_BMI!$A$2:$A$7,,1)</f>
        <v>3</v>
      </c>
      <c r="K305" t="str">
        <f>_xlfn.XLOOKUP(C305,dim_BMI!$C$2:$C$7,dim_BMI!$B$2:$B$7,,1)</f>
        <v>25.0 to 29.9 (Overweight)</v>
      </c>
    </row>
    <row r="306" spans="1:11" x14ac:dyDescent="0.25">
      <c r="A306" s="1">
        <v>1303</v>
      </c>
      <c r="B306">
        <v>25</v>
      </c>
      <c r="C306">
        <v>20.8</v>
      </c>
      <c r="D306">
        <v>1</v>
      </c>
      <c r="E306">
        <f t="shared" si="4"/>
        <v>0</v>
      </c>
      <c r="F306">
        <v>3208.7869999999998</v>
      </c>
      <c r="G306" t="s">
        <v>9</v>
      </c>
      <c r="H306" t="s">
        <v>11</v>
      </c>
      <c r="I306" t="s">
        <v>7</v>
      </c>
      <c r="J306">
        <f>_xlfn.XLOOKUP(C306,dim_BMI!$C$2:$C$7,dim_BMI!$A$2:$A$7,,1)</f>
        <v>2</v>
      </c>
      <c r="K306" t="str">
        <f>_xlfn.XLOOKUP(C306,dim_BMI!$C$2:$C$7,dim_BMI!$B$2:$B$7,,1)</f>
        <v>18.5 to 24.9 (Healthy Weight)</v>
      </c>
    </row>
    <row r="307" spans="1:11" x14ac:dyDescent="0.25">
      <c r="A307" s="1">
        <v>1309</v>
      </c>
      <c r="B307">
        <v>25</v>
      </c>
      <c r="C307">
        <v>30.2</v>
      </c>
      <c r="D307">
        <v>0</v>
      </c>
      <c r="E307">
        <f t="shared" si="4"/>
        <v>1</v>
      </c>
      <c r="F307">
        <v>33900.652999999998</v>
      </c>
      <c r="G307" t="s">
        <v>9</v>
      </c>
      <c r="H307" t="s">
        <v>8</v>
      </c>
      <c r="I307" t="s">
        <v>7</v>
      </c>
      <c r="J307">
        <f>_xlfn.XLOOKUP(C307,dim_BMI!$C$2:$C$7,dim_BMI!$A$2:$A$7,,1)</f>
        <v>4</v>
      </c>
      <c r="K307" t="str">
        <f>_xlfn.XLOOKUP(C307,dim_BMI!$C$2:$C$7,dim_BMI!$B$2:$B$7,,1)</f>
        <v>30.0 to 34.9 (Obesity Class 1)</v>
      </c>
    </row>
    <row r="308" spans="1:11" x14ac:dyDescent="0.25">
      <c r="A308" s="1">
        <v>38</v>
      </c>
      <c r="B308">
        <v>26</v>
      </c>
      <c r="C308">
        <v>20.8</v>
      </c>
      <c r="D308">
        <v>0</v>
      </c>
      <c r="E308">
        <f t="shared" si="4"/>
        <v>0</v>
      </c>
      <c r="F308">
        <v>2302.3000000000002</v>
      </c>
      <c r="G308" t="s">
        <v>9</v>
      </c>
      <c r="H308" t="s">
        <v>11</v>
      </c>
      <c r="I308" t="s">
        <v>10</v>
      </c>
      <c r="J308">
        <f>_xlfn.XLOOKUP(C308,dim_BMI!$C$2:$C$7,dim_BMI!$A$2:$A$7,,1)</f>
        <v>2</v>
      </c>
      <c r="K308" t="str">
        <f>_xlfn.XLOOKUP(C308,dim_BMI!$C$2:$C$7,dim_BMI!$B$2:$B$7,,1)</f>
        <v>18.5 to 24.9 (Healthy Weight)</v>
      </c>
    </row>
    <row r="309" spans="1:11" x14ac:dyDescent="0.25">
      <c r="A309" s="1">
        <v>108</v>
      </c>
      <c r="B309">
        <v>26</v>
      </c>
      <c r="C309">
        <v>30.875</v>
      </c>
      <c r="D309">
        <v>2</v>
      </c>
      <c r="E309">
        <f t="shared" si="4"/>
        <v>0</v>
      </c>
      <c r="F309">
        <v>3877.3042500000001</v>
      </c>
      <c r="G309" t="s">
        <v>13</v>
      </c>
      <c r="H309" t="s">
        <v>11</v>
      </c>
      <c r="I309" t="s">
        <v>10</v>
      </c>
      <c r="J309">
        <f>_xlfn.XLOOKUP(C309,dim_BMI!$C$2:$C$7,dim_BMI!$A$2:$A$7,,1)</f>
        <v>4</v>
      </c>
      <c r="K309" t="str">
        <f>_xlfn.XLOOKUP(C309,dim_BMI!$C$2:$C$7,dim_BMI!$B$2:$B$7,,1)</f>
        <v>30.0 to 34.9 (Obesity Class 1)</v>
      </c>
    </row>
    <row r="310" spans="1:11" x14ac:dyDescent="0.25">
      <c r="A310" s="1">
        <v>126</v>
      </c>
      <c r="B310">
        <v>26</v>
      </c>
      <c r="C310">
        <v>28.785</v>
      </c>
      <c r="D310">
        <v>0</v>
      </c>
      <c r="E310">
        <f t="shared" si="4"/>
        <v>0</v>
      </c>
      <c r="F310">
        <v>3385.3991500000002</v>
      </c>
      <c r="G310" t="s">
        <v>14</v>
      </c>
      <c r="H310" t="s">
        <v>11</v>
      </c>
      <c r="I310" t="s">
        <v>7</v>
      </c>
      <c r="J310">
        <f>_xlfn.XLOOKUP(C310,dim_BMI!$C$2:$C$7,dim_BMI!$A$2:$A$7,,1)</f>
        <v>3</v>
      </c>
      <c r="K310" t="str">
        <f>_xlfn.XLOOKUP(C310,dim_BMI!$C$2:$C$7,dim_BMI!$B$2:$B$7,,1)</f>
        <v>25.0 to 29.9 (Overweight)</v>
      </c>
    </row>
    <row r="311" spans="1:11" x14ac:dyDescent="0.25">
      <c r="A311" s="1">
        <v>142</v>
      </c>
      <c r="B311">
        <v>26</v>
      </c>
      <c r="C311">
        <v>32.49</v>
      </c>
      <c r="D311">
        <v>1</v>
      </c>
      <c r="E311">
        <f t="shared" si="4"/>
        <v>0</v>
      </c>
      <c r="F311">
        <v>3490.5491000000002</v>
      </c>
      <c r="G311" t="s">
        <v>14</v>
      </c>
      <c r="H311" t="s">
        <v>11</v>
      </c>
      <c r="I311" t="s">
        <v>10</v>
      </c>
      <c r="J311">
        <f>_xlfn.XLOOKUP(C311,dim_BMI!$C$2:$C$7,dim_BMI!$A$2:$A$7,,1)</f>
        <v>4</v>
      </c>
      <c r="K311" t="str">
        <f>_xlfn.XLOOKUP(C311,dim_BMI!$C$2:$C$7,dim_BMI!$B$2:$B$7,,1)</f>
        <v>30.0 to 34.9 (Obesity Class 1)</v>
      </c>
    </row>
    <row r="312" spans="1:11" x14ac:dyDescent="0.25">
      <c r="A312" s="1">
        <v>187</v>
      </c>
      <c r="B312">
        <v>26</v>
      </c>
      <c r="C312">
        <v>29.92</v>
      </c>
      <c r="D312">
        <v>2</v>
      </c>
      <c r="E312">
        <f t="shared" si="4"/>
        <v>0</v>
      </c>
      <c r="F312">
        <v>3981.9767999999999</v>
      </c>
      <c r="G312" t="s">
        <v>12</v>
      </c>
      <c r="H312" t="s">
        <v>11</v>
      </c>
      <c r="I312" t="s">
        <v>7</v>
      </c>
      <c r="J312">
        <f>_xlfn.XLOOKUP(C312,dim_BMI!$C$2:$C$7,dim_BMI!$A$2:$A$7,,1)</f>
        <v>4</v>
      </c>
      <c r="K312" t="str">
        <f>_xlfn.XLOOKUP(C312,dim_BMI!$C$2:$C$7,dim_BMI!$B$2:$B$7,,1)</f>
        <v>30.0 to 34.9 (Obesity Class 1)</v>
      </c>
    </row>
    <row r="313" spans="1:11" x14ac:dyDescent="0.25">
      <c r="A313" s="1">
        <v>219</v>
      </c>
      <c r="B313">
        <v>26</v>
      </c>
      <c r="C313">
        <v>29.92</v>
      </c>
      <c r="D313">
        <v>1</v>
      </c>
      <c r="E313">
        <f t="shared" si="4"/>
        <v>0</v>
      </c>
      <c r="F313">
        <v>3392.9767999999999</v>
      </c>
      <c r="G313" t="s">
        <v>12</v>
      </c>
      <c r="H313" t="s">
        <v>11</v>
      </c>
      <c r="I313" t="s">
        <v>7</v>
      </c>
      <c r="J313">
        <f>_xlfn.XLOOKUP(C313,dim_BMI!$C$2:$C$7,dim_BMI!$A$2:$A$7,,1)</f>
        <v>4</v>
      </c>
      <c r="K313" t="str">
        <f>_xlfn.XLOOKUP(C313,dim_BMI!$C$2:$C$7,dim_BMI!$B$2:$B$7,,1)</f>
        <v>30.0 to 34.9 (Obesity Class 1)</v>
      </c>
    </row>
    <row r="314" spans="1:11" x14ac:dyDescent="0.25">
      <c r="A314" s="1">
        <v>322</v>
      </c>
      <c r="B314">
        <v>26</v>
      </c>
      <c r="C314">
        <v>29.64</v>
      </c>
      <c r="D314">
        <v>4</v>
      </c>
      <c r="E314">
        <f t="shared" si="4"/>
        <v>0</v>
      </c>
      <c r="F314">
        <v>24671.663339999999</v>
      </c>
      <c r="G314" t="s">
        <v>14</v>
      </c>
      <c r="H314" t="s">
        <v>11</v>
      </c>
      <c r="I314" t="s">
        <v>7</v>
      </c>
      <c r="J314">
        <f>_xlfn.XLOOKUP(C314,dim_BMI!$C$2:$C$7,dim_BMI!$A$2:$A$7,,1)</f>
        <v>3</v>
      </c>
      <c r="K314" t="str">
        <f>_xlfn.XLOOKUP(C314,dim_BMI!$C$2:$C$7,dim_BMI!$B$2:$B$7,,1)</f>
        <v>25.0 to 29.9 (Overweight)</v>
      </c>
    </row>
    <row r="315" spans="1:11" x14ac:dyDescent="0.25">
      <c r="A315" s="1">
        <v>374</v>
      </c>
      <c r="B315">
        <v>26</v>
      </c>
      <c r="C315">
        <v>32.9</v>
      </c>
      <c r="D315">
        <v>2</v>
      </c>
      <c r="E315">
        <f t="shared" si="4"/>
        <v>1</v>
      </c>
      <c r="F315">
        <v>36085.218999999997</v>
      </c>
      <c r="G315" t="s">
        <v>9</v>
      </c>
      <c r="H315" t="s">
        <v>8</v>
      </c>
      <c r="I315" t="s">
        <v>10</v>
      </c>
      <c r="J315">
        <f>_xlfn.XLOOKUP(C315,dim_BMI!$C$2:$C$7,dim_BMI!$A$2:$A$7,,1)</f>
        <v>4</v>
      </c>
      <c r="K315" t="str">
        <f>_xlfn.XLOOKUP(C315,dim_BMI!$C$2:$C$7,dim_BMI!$B$2:$B$7,,1)</f>
        <v>30.0 to 34.9 (Obesity Class 1)</v>
      </c>
    </row>
    <row r="316" spans="1:11" x14ac:dyDescent="0.25">
      <c r="A316" s="1">
        <v>389</v>
      </c>
      <c r="B316">
        <v>26</v>
      </c>
      <c r="C316">
        <v>22.61</v>
      </c>
      <c r="D316">
        <v>0</v>
      </c>
      <c r="E316">
        <f t="shared" si="4"/>
        <v>0</v>
      </c>
      <c r="F316">
        <v>3176.8159000000001</v>
      </c>
      <c r="G316" t="s">
        <v>13</v>
      </c>
      <c r="H316" t="s">
        <v>11</v>
      </c>
      <c r="I316" t="s">
        <v>7</v>
      </c>
      <c r="J316">
        <f>_xlfn.XLOOKUP(C316,dim_BMI!$C$2:$C$7,dim_BMI!$A$2:$A$7,,1)</f>
        <v>2</v>
      </c>
      <c r="K316" t="str">
        <f>_xlfn.XLOOKUP(C316,dim_BMI!$C$2:$C$7,dim_BMI!$B$2:$B$7,,1)</f>
        <v>18.5 to 24.9 (Healthy Weight)</v>
      </c>
    </row>
    <row r="317" spans="1:11" x14ac:dyDescent="0.25">
      <c r="A317" s="1">
        <v>413</v>
      </c>
      <c r="B317">
        <v>26</v>
      </c>
      <c r="C317">
        <v>17.195</v>
      </c>
      <c r="D317">
        <v>2</v>
      </c>
      <c r="E317">
        <f t="shared" si="4"/>
        <v>1</v>
      </c>
      <c r="F317">
        <v>14455.644050000001</v>
      </c>
      <c r="G317" t="s">
        <v>14</v>
      </c>
      <c r="H317" t="s">
        <v>8</v>
      </c>
      <c r="I317" t="s">
        <v>7</v>
      </c>
      <c r="J317">
        <f>_xlfn.XLOOKUP(C317,dim_BMI!$C$2:$C$7,dim_BMI!$A$2:$A$7,,1)</f>
        <v>1</v>
      </c>
      <c r="K317" t="str">
        <f>_xlfn.XLOOKUP(C317,dim_BMI!$C$2:$C$7,dim_BMI!$B$2:$B$7,,1)</f>
        <v>18.49 or less (Underweight)</v>
      </c>
    </row>
    <row r="318" spans="1:11" x14ac:dyDescent="0.25">
      <c r="A318" s="1">
        <v>440</v>
      </c>
      <c r="B318">
        <v>26</v>
      </c>
      <c r="C318">
        <v>29.45</v>
      </c>
      <c r="D318">
        <v>0</v>
      </c>
      <c r="E318">
        <f t="shared" si="4"/>
        <v>0</v>
      </c>
      <c r="F318">
        <v>2897.3235</v>
      </c>
      <c r="G318" t="s">
        <v>14</v>
      </c>
      <c r="H318" t="s">
        <v>11</v>
      </c>
      <c r="I318" t="s">
        <v>10</v>
      </c>
      <c r="J318">
        <f>_xlfn.XLOOKUP(C318,dim_BMI!$C$2:$C$7,dim_BMI!$A$2:$A$7,,1)</f>
        <v>3</v>
      </c>
      <c r="K318" t="str">
        <f>_xlfn.XLOOKUP(C318,dim_BMI!$C$2:$C$7,dim_BMI!$B$2:$B$7,,1)</f>
        <v>25.0 to 29.9 (Overweight)</v>
      </c>
    </row>
    <row r="319" spans="1:11" x14ac:dyDescent="0.25">
      <c r="A319" s="1">
        <v>657</v>
      </c>
      <c r="B319">
        <v>26</v>
      </c>
      <c r="C319">
        <v>42.4</v>
      </c>
      <c r="D319">
        <v>1</v>
      </c>
      <c r="E319">
        <f t="shared" si="4"/>
        <v>0</v>
      </c>
      <c r="F319">
        <v>3410.3240000000001</v>
      </c>
      <c r="G319" t="s">
        <v>9</v>
      </c>
      <c r="H319" t="s">
        <v>11</v>
      </c>
      <c r="I319" t="s">
        <v>7</v>
      </c>
      <c r="J319">
        <f>_xlfn.XLOOKUP(C319,dim_BMI!$C$2:$C$7,dim_BMI!$A$2:$A$7,,1)</f>
        <v>6</v>
      </c>
      <c r="K319" t="str">
        <f>_xlfn.XLOOKUP(C319,dim_BMI!$C$2:$C$7,dim_BMI!$B$2:$B$7,,1)</f>
        <v>40 or higher (Severe Obesity Class 3)</v>
      </c>
    </row>
    <row r="320" spans="1:11" x14ac:dyDescent="0.25">
      <c r="A320" s="1">
        <v>696</v>
      </c>
      <c r="B320">
        <v>26</v>
      </c>
      <c r="C320">
        <v>40.185000000000002</v>
      </c>
      <c r="D320">
        <v>0</v>
      </c>
      <c r="E320">
        <f t="shared" si="4"/>
        <v>0</v>
      </c>
      <c r="F320">
        <v>3201.2451500000002</v>
      </c>
      <c r="G320" t="s">
        <v>13</v>
      </c>
      <c r="H320" t="s">
        <v>11</v>
      </c>
      <c r="I320" t="s">
        <v>7</v>
      </c>
      <c r="J320">
        <f>_xlfn.XLOOKUP(C320,dim_BMI!$C$2:$C$7,dim_BMI!$A$2:$A$7,,1)</f>
        <v>6</v>
      </c>
      <c r="K320" t="str">
        <f>_xlfn.XLOOKUP(C320,dim_BMI!$C$2:$C$7,dim_BMI!$B$2:$B$7,,1)</f>
        <v>40 or higher (Severe Obesity Class 3)</v>
      </c>
    </row>
    <row r="321" spans="1:11" x14ac:dyDescent="0.25">
      <c r="A321" s="1">
        <v>738</v>
      </c>
      <c r="B321">
        <v>26</v>
      </c>
      <c r="C321">
        <v>23.7</v>
      </c>
      <c r="D321">
        <v>2</v>
      </c>
      <c r="E321">
        <f t="shared" si="4"/>
        <v>0</v>
      </c>
      <c r="F321">
        <v>3484.3310000000001</v>
      </c>
      <c r="G321" t="s">
        <v>9</v>
      </c>
      <c r="H321" t="s">
        <v>11</v>
      </c>
      <c r="I321" t="s">
        <v>10</v>
      </c>
      <c r="J321">
        <f>_xlfn.XLOOKUP(C321,dim_BMI!$C$2:$C$7,dim_BMI!$A$2:$A$7,,1)</f>
        <v>2</v>
      </c>
      <c r="K321" t="str">
        <f>_xlfn.XLOOKUP(C321,dim_BMI!$C$2:$C$7,dim_BMI!$B$2:$B$7,,1)</f>
        <v>18.5 to 24.9 (Healthy Weight)</v>
      </c>
    </row>
    <row r="322" spans="1:11" x14ac:dyDescent="0.25">
      <c r="A322" s="1">
        <v>822</v>
      </c>
      <c r="B322">
        <v>26</v>
      </c>
      <c r="C322">
        <v>17.670000000000002</v>
      </c>
      <c r="D322">
        <v>0</v>
      </c>
      <c r="E322">
        <f t="shared" si="4"/>
        <v>0</v>
      </c>
      <c r="F322">
        <v>2680.9493000000002</v>
      </c>
      <c r="G322" t="s">
        <v>13</v>
      </c>
      <c r="H322" t="s">
        <v>11</v>
      </c>
      <c r="I322" t="s">
        <v>10</v>
      </c>
      <c r="J322">
        <f>_xlfn.XLOOKUP(C322,dim_BMI!$C$2:$C$7,dim_BMI!$A$2:$A$7,,1)</f>
        <v>1</v>
      </c>
      <c r="K322" t="str">
        <f>_xlfn.XLOOKUP(C322,dim_BMI!$C$2:$C$7,dim_BMI!$B$2:$B$7,,1)</f>
        <v>18.49 or less (Underweight)</v>
      </c>
    </row>
    <row r="323" spans="1:11" x14ac:dyDescent="0.25">
      <c r="A323" s="1">
        <v>872</v>
      </c>
      <c r="B323">
        <v>26</v>
      </c>
      <c r="C323">
        <v>29.48</v>
      </c>
      <c r="D323">
        <v>1</v>
      </c>
      <c r="E323">
        <f t="shared" ref="E323:E386" si="5">IF(H323="yes",1,0)</f>
        <v>0</v>
      </c>
      <c r="F323">
        <v>3392.3652000000002</v>
      </c>
      <c r="G323" t="s">
        <v>12</v>
      </c>
      <c r="H323" t="s">
        <v>11</v>
      </c>
      <c r="I323" t="s">
        <v>7</v>
      </c>
      <c r="J323">
        <f>_xlfn.XLOOKUP(C323,dim_BMI!$C$2:$C$7,dim_BMI!$A$2:$A$7,,1)</f>
        <v>3</v>
      </c>
      <c r="K323" t="str">
        <f>_xlfn.XLOOKUP(C323,dim_BMI!$C$2:$C$7,dim_BMI!$B$2:$B$7,,1)</f>
        <v>25.0 to 29.9 (Overweight)</v>
      </c>
    </row>
    <row r="324" spans="1:11" x14ac:dyDescent="0.25">
      <c r="A324" s="1">
        <v>903</v>
      </c>
      <c r="B324">
        <v>26</v>
      </c>
      <c r="C324">
        <v>27.265000000000001</v>
      </c>
      <c r="D324">
        <v>3</v>
      </c>
      <c r="E324">
        <f t="shared" si="5"/>
        <v>0</v>
      </c>
      <c r="F324">
        <v>4661.2863500000003</v>
      </c>
      <c r="G324" t="s">
        <v>14</v>
      </c>
      <c r="H324" t="s">
        <v>11</v>
      </c>
      <c r="I324" t="s">
        <v>10</v>
      </c>
      <c r="J324">
        <f>_xlfn.XLOOKUP(C324,dim_BMI!$C$2:$C$7,dim_BMI!$A$2:$A$7,,1)</f>
        <v>3</v>
      </c>
      <c r="K324" t="str">
        <f>_xlfn.XLOOKUP(C324,dim_BMI!$C$2:$C$7,dim_BMI!$B$2:$B$7,,1)</f>
        <v>25.0 to 29.9 (Overweight)</v>
      </c>
    </row>
    <row r="325" spans="1:11" x14ac:dyDescent="0.25">
      <c r="A325" s="1">
        <v>906</v>
      </c>
      <c r="B325">
        <v>26</v>
      </c>
      <c r="C325">
        <v>29.355</v>
      </c>
      <c r="D325">
        <v>2</v>
      </c>
      <c r="E325">
        <f t="shared" si="5"/>
        <v>0</v>
      </c>
      <c r="F325">
        <v>4564.1914500000003</v>
      </c>
      <c r="G325" t="s">
        <v>14</v>
      </c>
      <c r="H325" t="s">
        <v>11</v>
      </c>
      <c r="I325" t="s">
        <v>7</v>
      </c>
      <c r="J325">
        <f>_xlfn.XLOOKUP(C325,dim_BMI!$C$2:$C$7,dim_BMI!$A$2:$A$7,,1)</f>
        <v>3</v>
      </c>
      <c r="K325" t="str">
        <f>_xlfn.XLOOKUP(C325,dim_BMI!$C$2:$C$7,dim_BMI!$B$2:$B$7,,1)</f>
        <v>25.0 to 29.9 (Overweight)</v>
      </c>
    </row>
    <row r="326" spans="1:11" x14ac:dyDescent="0.25">
      <c r="A326" s="1">
        <v>931</v>
      </c>
      <c r="B326">
        <v>26</v>
      </c>
      <c r="C326">
        <v>46.53</v>
      </c>
      <c r="D326">
        <v>1</v>
      </c>
      <c r="E326">
        <f t="shared" si="5"/>
        <v>0</v>
      </c>
      <c r="F326">
        <v>2927.0646999999999</v>
      </c>
      <c r="G326" t="s">
        <v>12</v>
      </c>
      <c r="H326" t="s">
        <v>11</v>
      </c>
      <c r="I326" t="s">
        <v>10</v>
      </c>
      <c r="J326">
        <f>_xlfn.XLOOKUP(C326,dim_BMI!$C$2:$C$7,dim_BMI!$A$2:$A$7,,1)</f>
        <v>6</v>
      </c>
      <c r="K326" t="str">
        <f>_xlfn.XLOOKUP(C326,dim_BMI!$C$2:$C$7,dim_BMI!$B$2:$B$7,,1)</f>
        <v>40 or higher (Severe Obesity Class 3)</v>
      </c>
    </row>
    <row r="327" spans="1:11" x14ac:dyDescent="0.25">
      <c r="A327" s="1">
        <v>975</v>
      </c>
      <c r="B327">
        <v>26</v>
      </c>
      <c r="C327">
        <v>35.42</v>
      </c>
      <c r="D327">
        <v>0</v>
      </c>
      <c r="E327">
        <f t="shared" si="5"/>
        <v>0</v>
      </c>
      <c r="F327">
        <v>2322.6217999999999</v>
      </c>
      <c r="G327" t="s">
        <v>12</v>
      </c>
      <c r="H327" t="s">
        <v>11</v>
      </c>
      <c r="I327" t="s">
        <v>10</v>
      </c>
      <c r="J327">
        <f>_xlfn.XLOOKUP(C327,dim_BMI!$C$2:$C$7,dim_BMI!$A$2:$A$7,,1)</f>
        <v>5</v>
      </c>
      <c r="K327" t="str">
        <f>_xlfn.XLOOKUP(C327,dim_BMI!$C$2:$C$7,dim_BMI!$B$2:$B$7,,1)</f>
        <v>35 to 39.9 (Obesity Class 2)</v>
      </c>
    </row>
    <row r="328" spans="1:11" x14ac:dyDescent="0.25">
      <c r="A328" s="1">
        <v>978</v>
      </c>
      <c r="B328">
        <v>26</v>
      </c>
      <c r="C328">
        <v>29.15</v>
      </c>
      <c r="D328">
        <v>1</v>
      </c>
      <c r="E328">
        <f t="shared" si="5"/>
        <v>0</v>
      </c>
      <c r="F328">
        <v>2902.9065000000001</v>
      </c>
      <c r="G328" t="s">
        <v>12</v>
      </c>
      <c r="H328" t="s">
        <v>11</v>
      </c>
      <c r="I328" t="s">
        <v>10</v>
      </c>
      <c r="J328">
        <f>_xlfn.XLOOKUP(C328,dim_BMI!$C$2:$C$7,dim_BMI!$A$2:$A$7,,1)</f>
        <v>3</v>
      </c>
      <c r="K328" t="str">
        <f>_xlfn.XLOOKUP(C328,dim_BMI!$C$2:$C$7,dim_BMI!$B$2:$B$7,,1)</f>
        <v>25.0 to 29.9 (Overweight)</v>
      </c>
    </row>
    <row r="329" spans="1:11" x14ac:dyDescent="0.25">
      <c r="A329" s="1">
        <v>991</v>
      </c>
      <c r="B329">
        <v>26</v>
      </c>
      <c r="C329">
        <v>19.8</v>
      </c>
      <c r="D329">
        <v>1</v>
      </c>
      <c r="E329">
        <f t="shared" si="5"/>
        <v>0</v>
      </c>
      <c r="F329">
        <v>3378.91</v>
      </c>
      <c r="G329" t="s">
        <v>9</v>
      </c>
      <c r="H329" t="s">
        <v>11</v>
      </c>
      <c r="I329" t="s">
        <v>7</v>
      </c>
      <c r="J329">
        <f>_xlfn.XLOOKUP(C329,dim_BMI!$C$2:$C$7,dim_BMI!$A$2:$A$7,,1)</f>
        <v>2</v>
      </c>
      <c r="K329" t="str">
        <f>_xlfn.XLOOKUP(C329,dim_BMI!$C$2:$C$7,dim_BMI!$B$2:$B$7,,1)</f>
        <v>18.5 to 24.9 (Healthy Weight)</v>
      </c>
    </row>
    <row r="330" spans="1:11" x14ac:dyDescent="0.25">
      <c r="A330" s="1">
        <v>1018</v>
      </c>
      <c r="B330">
        <v>26</v>
      </c>
      <c r="C330">
        <v>34.200000000000003</v>
      </c>
      <c r="D330">
        <v>2</v>
      </c>
      <c r="E330">
        <f t="shared" si="5"/>
        <v>0</v>
      </c>
      <c r="F330">
        <v>3987.9259999999999</v>
      </c>
      <c r="G330" t="s">
        <v>9</v>
      </c>
      <c r="H330" t="s">
        <v>11</v>
      </c>
      <c r="I330" t="s">
        <v>7</v>
      </c>
      <c r="J330">
        <f>_xlfn.XLOOKUP(C330,dim_BMI!$C$2:$C$7,dim_BMI!$A$2:$A$7,,1)</f>
        <v>4</v>
      </c>
      <c r="K330" t="str">
        <f>_xlfn.XLOOKUP(C330,dim_BMI!$C$2:$C$7,dim_BMI!$B$2:$B$7,,1)</f>
        <v>30.0 to 34.9 (Obesity Class 1)</v>
      </c>
    </row>
    <row r="331" spans="1:11" x14ac:dyDescent="0.25">
      <c r="A331" s="1">
        <v>1109</v>
      </c>
      <c r="B331">
        <v>26</v>
      </c>
      <c r="C331">
        <v>30</v>
      </c>
      <c r="D331">
        <v>1</v>
      </c>
      <c r="E331">
        <f t="shared" si="5"/>
        <v>0</v>
      </c>
      <c r="F331">
        <v>2904.0880000000002</v>
      </c>
      <c r="G331" t="s">
        <v>9</v>
      </c>
      <c r="H331" t="s">
        <v>11</v>
      </c>
      <c r="I331" t="s">
        <v>10</v>
      </c>
      <c r="J331">
        <f>_xlfn.XLOOKUP(C331,dim_BMI!$C$2:$C$7,dim_BMI!$A$2:$A$7,,1)</f>
        <v>4</v>
      </c>
      <c r="K331" t="str">
        <f>_xlfn.XLOOKUP(C331,dim_BMI!$C$2:$C$7,dim_BMI!$B$2:$B$7,,1)</f>
        <v>30.0 to 34.9 (Obesity Class 1)</v>
      </c>
    </row>
    <row r="332" spans="1:11" x14ac:dyDescent="0.25">
      <c r="A332" s="1">
        <v>1138</v>
      </c>
      <c r="B332">
        <v>26</v>
      </c>
      <c r="C332">
        <v>22.23</v>
      </c>
      <c r="D332">
        <v>0</v>
      </c>
      <c r="E332">
        <f t="shared" si="5"/>
        <v>0</v>
      </c>
      <c r="F332">
        <v>3176.2876999999999</v>
      </c>
      <c r="G332" t="s">
        <v>13</v>
      </c>
      <c r="H332" t="s">
        <v>11</v>
      </c>
      <c r="I332" t="s">
        <v>7</v>
      </c>
      <c r="J332">
        <f>_xlfn.XLOOKUP(C332,dim_BMI!$C$2:$C$7,dim_BMI!$A$2:$A$7,,1)</f>
        <v>2</v>
      </c>
      <c r="K332" t="str">
        <f>_xlfn.XLOOKUP(C332,dim_BMI!$C$2:$C$7,dim_BMI!$B$2:$B$7,,1)</f>
        <v>18.5 to 24.9 (Healthy Weight)</v>
      </c>
    </row>
    <row r="333" spans="1:11" x14ac:dyDescent="0.25">
      <c r="A333" s="1">
        <v>1236</v>
      </c>
      <c r="B333">
        <v>26</v>
      </c>
      <c r="C333">
        <v>31.065000000000001</v>
      </c>
      <c r="D333">
        <v>0</v>
      </c>
      <c r="E333">
        <f t="shared" si="5"/>
        <v>0</v>
      </c>
      <c r="F333">
        <v>2699.56835</v>
      </c>
      <c r="G333" t="s">
        <v>13</v>
      </c>
      <c r="H333" t="s">
        <v>11</v>
      </c>
      <c r="I333" t="s">
        <v>10</v>
      </c>
      <c r="J333">
        <f>_xlfn.XLOOKUP(C333,dim_BMI!$C$2:$C$7,dim_BMI!$A$2:$A$7,,1)</f>
        <v>4</v>
      </c>
      <c r="K333" t="str">
        <f>_xlfn.XLOOKUP(C333,dim_BMI!$C$2:$C$7,dim_BMI!$B$2:$B$7,,1)</f>
        <v>30.0 to 34.9 (Obesity Class 1)</v>
      </c>
    </row>
    <row r="334" spans="1:11" x14ac:dyDescent="0.25">
      <c r="A334" s="1">
        <v>1271</v>
      </c>
      <c r="B334">
        <v>26</v>
      </c>
      <c r="C334">
        <v>33.914999999999999</v>
      </c>
      <c r="D334">
        <v>1</v>
      </c>
      <c r="E334">
        <f t="shared" si="5"/>
        <v>0</v>
      </c>
      <c r="F334">
        <v>3292.5298499999999</v>
      </c>
      <c r="G334" t="s">
        <v>13</v>
      </c>
      <c r="H334" t="s">
        <v>11</v>
      </c>
      <c r="I334" t="s">
        <v>10</v>
      </c>
      <c r="J334">
        <f>_xlfn.XLOOKUP(C334,dim_BMI!$C$2:$C$7,dim_BMI!$A$2:$A$7,,1)</f>
        <v>4</v>
      </c>
      <c r="K334" t="str">
        <f>_xlfn.XLOOKUP(C334,dim_BMI!$C$2:$C$7,dim_BMI!$B$2:$B$7,,1)</f>
        <v>30.0 to 34.9 (Obesity Class 1)</v>
      </c>
    </row>
    <row r="335" spans="1:11" x14ac:dyDescent="0.25">
      <c r="A335" s="1">
        <v>1275</v>
      </c>
      <c r="B335">
        <v>26</v>
      </c>
      <c r="C335">
        <v>27.06</v>
      </c>
      <c r="D335">
        <v>0</v>
      </c>
      <c r="E335">
        <f t="shared" si="5"/>
        <v>1</v>
      </c>
      <c r="F335">
        <v>17043.341400000001</v>
      </c>
      <c r="G335" t="s">
        <v>12</v>
      </c>
      <c r="H335" t="s">
        <v>8</v>
      </c>
      <c r="I335" t="s">
        <v>10</v>
      </c>
      <c r="J335">
        <f>_xlfn.XLOOKUP(C335,dim_BMI!$C$2:$C$7,dim_BMI!$A$2:$A$7,,1)</f>
        <v>3</v>
      </c>
      <c r="K335" t="str">
        <f>_xlfn.XLOOKUP(C335,dim_BMI!$C$2:$C$7,dim_BMI!$B$2:$B$7,,1)</f>
        <v>25.0 to 29.9 (Overweight)</v>
      </c>
    </row>
    <row r="336" spans="1:11" x14ac:dyDescent="0.25">
      <c r="A336" s="1">
        <v>15</v>
      </c>
      <c r="B336">
        <v>27</v>
      </c>
      <c r="C336">
        <v>42.13</v>
      </c>
      <c r="D336">
        <v>0</v>
      </c>
      <c r="E336">
        <f t="shared" si="5"/>
        <v>1</v>
      </c>
      <c r="F336">
        <v>39611.757700000002</v>
      </c>
      <c r="G336" t="s">
        <v>12</v>
      </c>
      <c r="H336" t="s">
        <v>8</v>
      </c>
      <c r="I336" t="s">
        <v>10</v>
      </c>
      <c r="J336">
        <f>_xlfn.XLOOKUP(C336,dim_BMI!$C$2:$C$7,dim_BMI!$A$2:$A$7,,1)</f>
        <v>6</v>
      </c>
      <c r="K336" t="str">
        <f>_xlfn.XLOOKUP(C336,dim_BMI!$C$2:$C$7,dim_BMI!$B$2:$B$7,,1)</f>
        <v>40 or higher (Severe Obesity Class 3)</v>
      </c>
    </row>
    <row r="337" spans="1:11" x14ac:dyDescent="0.25">
      <c r="A337" s="1">
        <v>71</v>
      </c>
      <c r="B337">
        <v>27</v>
      </c>
      <c r="C337">
        <v>24.75</v>
      </c>
      <c r="D337">
        <v>0</v>
      </c>
      <c r="E337">
        <f t="shared" si="5"/>
        <v>1</v>
      </c>
      <c r="F337">
        <v>16577.779500000001</v>
      </c>
      <c r="G337" t="s">
        <v>12</v>
      </c>
      <c r="H337" t="s">
        <v>8</v>
      </c>
      <c r="I337" t="s">
        <v>7</v>
      </c>
      <c r="J337">
        <f>_xlfn.XLOOKUP(C337,dim_BMI!$C$2:$C$7,dim_BMI!$A$2:$A$7,,1)</f>
        <v>2</v>
      </c>
      <c r="K337" t="str">
        <f>_xlfn.XLOOKUP(C337,dim_BMI!$C$2:$C$7,dim_BMI!$B$2:$B$7,,1)</f>
        <v>18.5 to 24.9 (Healthy Weight)</v>
      </c>
    </row>
    <row r="338" spans="1:11" x14ac:dyDescent="0.25">
      <c r="A338" s="1">
        <v>170</v>
      </c>
      <c r="B338">
        <v>27</v>
      </c>
      <c r="C338">
        <v>18.905000000000001</v>
      </c>
      <c r="D338">
        <v>3</v>
      </c>
      <c r="E338">
        <f t="shared" si="5"/>
        <v>0</v>
      </c>
      <c r="F338">
        <v>4827.9049500000001</v>
      </c>
      <c r="G338" t="s">
        <v>14</v>
      </c>
      <c r="H338" t="s">
        <v>11</v>
      </c>
      <c r="I338" t="s">
        <v>10</v>
      </c>
      <c r="J338">
        <f>_xlfn.XLOOKUP(C338,dim_BMI!$C$2:$C$7,dim_BMI!$A$2:$A$7,,1)</f>
        <v>2</v>
      </c>
      <c r="K338" t="str">
        <f>_xlfn.XLOOKUP(C338,dim_BMI!$C$2:$C$7,dim_BMI!$B$2:$B$7,,1)</f>
        <v>18.5 to 24.9 (Healthy Weight)</v>
      </c>
    </row>
    <row r="339" spans="1:11" x14ac:dyDescent="0.25">
      <c r="A339" s="1">
        <v>204</v>
      </c>
      <c r="B339">
        <v>27</v>
      </c>
      <c r="C339">
        <v>36.08</v>
      </c>
      <c r="D339">
        <v>0</v>
      </c>
      <c r="E339">
        <f t="shared" si="5"/>
        <v>1</v>
      </c>
      <c r="F339">
        <v>37133.898200000003</v>
      </c>
      <c r="G339" t="s">
        <v>12</v>
      </c>
      <c r="H339" t="s">
        <v>8</v>
      </c>
      <c r="I339" t="s">
        <v>7</v>
      </c>
      <c r="J339">
        <f>_xlfn.XLOOKUP(C339,dim_BMI!$C$2:$C$7,dim_BMI!$A$2:$A$7,,1)</f>
        <v>5</v>
      </c>
      <c r="K339" t="str">
        <f>_xlfn.XLOOKUP(C339,dim_BMI!$C$2:$C$7,dim_BMI!$B$2:$B$7,,1)</f>
        <v>35 to 39.9 (Obesity Class 2)</v>
      </c>
    </row>
    <row r="340" spans="1:11" x14ac:dyDescent="0.25">
      <c r="A340" s="1">
        <v>218</v>
      </c>
      <c r="B340">
        <v>27</v>
      </c>
      <c r="C340">
        <v>23.1</v>
      </c>
      <c r="D340">
        <v>0</v>
      </c>
      <c r="E340">
        <f t="shared" si="5"/>
        <v>0</v>
      </c>
      <c r="F340">
        <v>2483.7359999999999</v>
      </c>
      <c r="G340" t="s">
        <v>12</v>
      </c>
      <c r="H340" t="s">
        <v>11</v>
      </c>
      <c r="I340" t="s">
        <v>10</v>
      </c>
      <c r="J340">
        <f>_xlfn.XLOOKUP(C340,dim_BMI!$C$2:$C$7,dim_BMI!$A$2:$A$7,,1)</f>
        <v>2</v>
      </c>
      <c r="K340" t="str">
        <f>_xlfn.XLOOKUP(C340,dim_BMI!$C$2:$C$7,dim_BMI!$B$2:$B$7,,1)</f>
        <v>18.5 to 24.9 (Healthy Weight)</v>
      </c>
    </row>
    <row r="341" spans="1:11" x14ac:dyDescent="0.25">
      <c r="A341" s="1">
        <v>254</v>
      </c>
      <c r="B341">
        <v>27</v>
      </c>
      <c r="C341">
        <v>30.3</v>
      </c>
      <c r="D341">
        <v>3</v>
      </c>
      <c r="E341">
        <f t="shared" si="5"/>
        <v>0</v>
      </c>
      <c r="F341">
        <v>4260.7439999999997</v>
      </c>
      <c r="G341" t="s">
        <v>9</v>
      </c>
      <c r="H341" t="s">
        <v>11</v>
      </c>
      <c r="I341" t="s">
        <v>10</v>
      </c>
      <c r="J341">
        <f>_xlfn.XLOOKUP(C341,dim_BMI!$C$2:$C$7,dim_BMI!$A$2:$A$7,,1)</f>
        <v>4</v>
      </c>
      <c r="K341" t="str">
        <f>_xlfn.XLOOKUP(C341,dim_BMI!$C$2:$C$7,dim_BMI!$B$2:$B$7,,1)</f>
        <v>30.0 to 34.9 (Obesity Class 1)</v>
      </c>
    </row>
    <row r="342" spans="1:11" x14ac:dyDescent="0.25">
      <c r="A342" s="1">
        <v>315</v>
      </c>
      <c r="B342">
        <v>27</v>
      </c>
      <c r="C342">
        <v>31.4</v>
      </c>
      <c r="D342">
        <v>0</v>
      </c>
      <c r="E342">
        <f t="shared" si="5"/>
        <v>1</v>
      </c>
      <c r="F342">
        <v>34838.873</v>
      </c>
      <c r="G342" t="s">
        <v>9</v>
      </c>
      <c r="H342" t="s">
        <v>8</v>
      </c>
      <c r="I342" t="s">
        <v>7</v>
      </c>
      <c r="J342">
        <f>_xlfn.XLOOKUP(C342,dim_BMI!$C$2:$C$7,dim_BMI!$A$2:$A$7,,1)</f>
        <v>4</v>
      </c>
      <c r="K342" t="str">
        <f>_xlfn.XLOOKUP(C342,dim_BMI!$C$2:$C$7,dim_BMI!$B$2:$B$7,,1)</f>
        <v>30.0 to 34.9 (Obesity Class 1)</v>
      </c>
    </row>
    <row r="343" spans="1:11" x14ac:dyDescent="0.25">
      <c r="A343" s="1">
        <v>327</v>
      </c>
      <c r="B343">
        <v>27</v>
      </c>
      <c r="C343">
        <v>23.21</v>
      </c>
      <c r="D343">
        <v>1</v>
      </c>
      <c r="E343">
        <f t="shared" si="5"/>
        <v>0</v>
      </c>
      <c r="F343">
        <v>3561.8888999999999</v>
      </c>
      <c r="G343" t="s">
        <v>12</v>
      </c>
      <c r="H343" t="s">
        <v>11</v>
      </c>
      <c r="I343" t="s">
        <v>7</v>
      </c>
      <c r="J343">
        <f>_xlfn.XLOOKUP(C343,dim_BMI!$C$2:$C$7,dim_BMI!$A$2:$A$7,,1)</f>
        <v>2</v>
      </c>
      <c r="K343" t="str">
        <f>_xlfn.XLOOKUP(C343,dim_BMI!$C$2:$C$7,dim_BMI!$B$2:$B$7,,1)</f>
        <v>18.5 to 24.9 (Healthy Weight)</v>
      </c>
    </row>
    <row r="344" spans="1:11" x14ac:dyDescent="0.25">
      <c r="A344" s="1">
        <v>381</v>
      </c>
      <c r="B344">
        <v>27</v>
      </c>
      <c r="C344">
        <v>17.954999999999998</v>
      </c>
      <c r="D344">
        <v>2</v>
      </c>
      <c r="E344">
        <f t="shared" si="5"/>
        <v>1</v>
      </c>
      <c r="F344">
        <v>15006.579449999999</v>
      </c>
      <c r="G344" t="s">
        <v>14</v>
      </c>
      <c r="H344" t="s">
        <v>8</v>
      </c>
      <c r="I344" t="s">
        <v>7</v>
      </c>
      <c r="J344">
        <f>_xlfn.XLOOKUP(C344,dim_BMI!$C$2:$C$7,dim_BMI!$A$2:$A$7,,1)</f>
        <v>1</v>
      </c>
      <c r="K344" t="str">
        <f>_xlfn.XLOOKUP(C344,dim_BMI!$C$2:$C$7,dim_BMI!$B$2:$B$7,,1)</f>
        <v>18.49 or less (Underweight)</v>
      </c>
    </row>
    <row r="345" spans="1:11" x14ac:dyDescent="0.25">
      <c r="A345" s="1">
        <v>430</v>
      </c>
      <c r="B345">
        <v>27</v>
      </c>
      <c r="C345">
        <v>30.4</v>
      </c>
      <c r="D345">
        <v>3</v>
      </c>
      <c r="E345">
        <f t="shared" si="5"/>
        <v>0</v>
      </c>
      <c r="F345">
        <v>18804.752400000001</v>
      </c>
      <c r="G345" t="s">
        <v>13</v>
      </c>
      <c r="H345" t="s">
        <v>11</v>
      </c>
      <c r="I345" t="s">
        <v>7</v>
      </c>
      <c r="J345">
        <f>_xlfn.XLOOKUP(C345,dim_BMI!$C$2:$C$7,dim_BMI!$A$2:$A$7,,1)</f>
        <v>4</v>
      </c>
      <c r="K345" t="str">
        <f>_xlfn.XLOOKUP(C345,dim_BMI!$C$2:$C$7,dim_BMI!$B$2:$B$7,,1)</f>
        <v>30.0 to 34.9 (Obesity Class 1)</v>
      </c>
    </row>
    <row r="346" spans="1:11" x14ac:dyDescent="0.25">
      <c r="A346" s="1">
        <v>471</v>
      </c>
      <c r="B346">
        <v>27</v>
      </c>
      <c r="C346">
        <v>32.67</v>
      </c>
      <c r="D346">
        <v>0</v>
      </c>
      <c r="E346">
        <f t="shared" si="5"/>
        <v>0</v>
      </c>
      <c r="F346">
        <v>2497.0383000000002</v>
      </c>
      <c r="G346" t="s">
        <v>12</v>
      </c>
      <c r="H346" t="s">
        <v>11</v>
      </c>
      <c r="I346" t="s">
        <v>10</v>
      </c>
      <c r="J346">
        <f>_xlfn.XLOOKUP(C346,dim_BMI!$C$2:$C$7,dim_BMI!$A$2:$A$7,,1)</f>
        <v>4</v>
      </c>
      <c r="K346" t="str">
        <f>_xlfn.XLOOKUP(C346,dim_BMI!$C$2:$C$7,dim_BMI!$B$2:$B$7,,1)</f>
        <v>30.0 to 34.9 (Obesity Class 1)</v>
      </c>
    </row>
    <row r="347" spans="1:11" x14ac:dyDescent="0.25">
      <c r="A347" s="1">
        <v>512</v>
      </c>
      <c r="B347">
        <v>27</v>
      </c>
      <c r="C347">
        <v>33.659999999999997</v>
      </c>
      <c r="D347">
        <v>0</v>
      </c>
      <c r="E347">
        <f t="shared" si="5"/>
        <v>0</v>
      </c>
      <c r="F347">
        <v>2498.4144000000001</v>
      </c>
      <c r="G347" t="s">
        <v>12</v>
      </c>
      <c r="H347" t="s">
        <v>11</v>
      </c>
      <c r="I347" t="s">
        <v>10</v>
      </c>
      <c r="J347">
        <f>_xlfn.XLOOKUP(C347,dim_BMI!$C$2:$C$7,dim_BMI!$A$2:$A$7,,1)</f>
        <v>4</v>
      </c>
      <c r="K347" t="str">
        <f>_xlfn.XLOOKUP(C347,dim_BMI!$C$2:$C$7,dim_BMI!$B$2:$B$7,,1)</f>
        <v>30.0 to 34.9 (Obesity Class 1)</v>
      </c>
    </row>
    <row r="348" spans="1:11" x14ac:dyDescent="0.25">
      <c r="A348" s="1">
        <v>563</v>
      </c>
      <c r="B348">
        <v>27</v>
      </c>
      <c r="C348">
        <v>30.5</v>
      </c>
      <c r="D348">
        <v>0</v>
      </c>
      <c r="E348">
        <f t="shared" si="5"/>
        <v>0</v>
      </c>
      <c r="F348">
        <v>2494.0219999999999</v>
      </c>
      <c r="G348" t="s">
        <v>9</v>
      </c>
      <c r="H348" t="s">
        <v>11</v>
      </c>
      <c r="I348" t="s">
        <v>10</v>
      </c>
      <c r="J348">
        <f>_xlfn.XLOOKUP(C348,dim_BMI!$C$2:$C$7,dim_BMI!$A$2:$A$7,,1)</f>
        <v>4</v>
      </c>
      <c r="K348" t="str">
        <f>_xlfn.XLOOKUP(C348,dim_BMI!$C$2:$C$7,dim_BMI!$B$2:$B$7,,1)</f>
        <v>30.0 to 34.9 (Obesity Class 1)</v>
      </c>
    </row>
    <row r="349" spans="1:11" x14ac:dyDescent="0.25">
      <c r="A349" s="1">
        <v>607</v>
      </c>
      <c r="B349">
        <v>27</v>
      </c>
      <c r="C349">
        <v>25.175000000000001</v>
      </c>
      <c r="D349">
        <v>0</v>
      </c>
      <c r="E349">
        <f t="shared" si="5"/>
        <v>0</v>
      </c>
      <c r="F349">
        <v>3558.6202499999999</v>
      </c>
      <c r="G349" t="s">
        <v>14</v>
      </c>
      <c r="H349" t="s">
        <v>11</v>
      </c>
      <c r="I349" t="s">
        <v>7</v>
      </c>
      <c r="J349">
        <f>_xlfn.XLOOKUP(C349,dim_BMI!$C$2:$C$7,dim_BMI!$A$2:$A$7,,1)</f>
        <v>3</v>
      </c>
      <c r="K349" t="str">
        <f>_xlfn.XLOOKUP(C349,dim_BMI!$C$2:$C$7,dim_BMI!$B$2:$B$7,,1)</f>
        <v>25.0 to 29.9 (Overweight)</v>
      </c>
    </row>
    <row r="350" spans="1:11" x14ac:dyDescent="0.25">
      <c r="A350" s="1">
        <v>658</v>
      </c>
      <c r="B350">
        <v>27</v>
      </c>
      <c r="C350">
        <v>33.155000000000001</v>
      </c>
      <c r="D350">
        <v>2</v>
      </c>
      <c r="E350">
        <f t="shared" si="5"/>
        <v>0</v>
      </c>
      <c r="F350">
        <v>4058.71245</v>
      </c>
      <c r="G350" t="s">
        <v>13</v>
      </c>
      <c r="H350" t="s">
        <v>11</v>
      </c>
      <c r="I350" t="s">
        <v>10</v>
      </c>
      <c r="J350">
        <f>_xlfn.XLOOKUP(C350,dim_BMI!$C$2:$C$7,dim_BMI!$A$2:$A$7,,1)</f>
        <v>4</v>
      </c>
      <c r="K350" t="str">
        <f>_xlfn.XLOOKUP(C350,dim_BMI!$C$2:$C$7,dim_BMI!$B$2:$B$7,,1)</f>
        <v>30.0 to 34.9 (Obesity Class 1)</v>
      </c>
    </row>
    <row r="351" spans="1:11" x14ac:dyDescent="0.25">
      <c r="A351" s="1">
        <v>690</v>
      </c>
      <c r="B351">
        <v>27</v>
      </c>
      <c r="C351">
        <v>31.13</v>
      </c>
      <c r="D351">
        <v>1</v>
      </c>
      <c r="E351">
        <f t="shared" si="5"/>
        <v>1</v>
      </c>
      <c r="F351">
        <v>34806.467700000001</v>
      </c>
      <c r="G351" t="s">
        <v>12</v>
      </c>
      <c r="H351" t="s">
        <v>8</v>
      </c>
      <c r="I351" t="s">
        <v>10</v>
      </c>
      <c r="J351">
        <f>_xlfn.XLOOKUP(C351,dim_BMI!$C$2:$C$7,dim_BMI!$A$2:$A$7,,1)</f>
        <v>4</v>
      </c>
      <c r="K351" t="str">
        <f>_xlfn.XLOOKUP(C351,dim_BMI!$C$2:$C$7,dim_BMI!$B$2:$B$7,,1)</f>
        <v>30.0 to 34.9 (Obesity Class 1)</v>
      </c>
    </row>
    <row r="352" spans="1:11" x14ac:dyDescent="0.25">
      <c r="A352" s="1">
        <v>695</v>
      </c>
      <c r="B352">
        <v>27</v>
      </c>
      <c r="C352">
        <v>34.799999999999997</v>
      </c>
      <c r="D352">
        <v>1</v>
      </c>
      <c r="E352">
        <f t="shared" si="5"/>
        <v>0</v>
      </c>
      <c r="F352">
        <v>3577.9989999999998</v>
      </c>
      <c r="G352" t="s">
        <v>9</v>
      </c>
      <c r="H352" t="s">
        <v>11</v>
      </c>
      <c r="I352" t="s">
        <v>7</v>
      </c>
      <c r="J352">
        <f>_xlfn.XLOOKUP(C352,dim_BMI!$C$2:$C$7,dim_BMI!$A$2:$A$7,,1)</f>
        <v>4</v>
      </c>
      <c r="K352" t="str">
        <f>_xlfn.XLOOKUP(C352,dim_BMI!$C$2:$C$7,dim_BMI!$B$2:$B$7,,1)</f>
        <v>30.0 to 34.9 (Obesity Class 1)</v>
      </c>
    </row>
    <row r="353" spans="1:11" x14ac:dyDescent="0.25">
      <c r="A353" s="1">
        <v>742</v>
      </c>
      <c r="B353">
        <v>27</v>
      </c>
      <c r="C353">
        <v>29.15</v>
      </c>
      <c r="D353">
        <v>0</v>
      </c>
      <c r="E353">
        <f t="shared" si="5"/>
        <v>1</v>
      </c>
      <c r="F353">
        <v>18246.495500000001</v>
      </c>
      <c r="G353" t="s">
        <v>12</v>
      </c>
      <c r="H353" t="s">
        <v>8</v>
      </c>
      <c r="I353" t="s">
        <v>10</v>
      </c>
      <c r="J353">
        <f>_xlfn.XLOOKUP(C353,dim_BMI!$C$2:$C$7,dim_BMI!$A$2:$A$7,,1)</f>
        <v>3</v>
      </c>
      <c r="K353" t="str">
        <f>_xlfn.XLOOKUP(C353,dim_BMI!$C$2:$C$7,dim_BMI!$B$2:$B$7,,1)</f>
        <v>25.0 to 29.9 (Overweight)</v>
      </c>
    </row>
    <row r="354" spans="1:11" x14ac:dyDescent="0.25">
      <c r="A354" s="1">
        <v>764</v>
      </c>
      <c r="B354">
        <v>27</v>
      </c>
      <c r="C354">
        <v>26.03</v>
      </c>
      <c r="D354">
        <v>0</v>
      </c>
      <c r="E354">
        <f t="shared" si="5"/>
        <v>0</v>
      </c>
      <c r="F354">
        <v>3070.8087</v>
      </c>
      <c r="G354" t="s">
        <v>14</v>
      </c>
      <c r="H354" t="s">
        <v>11</v>
      </c>
      <c r="I354" t="s">
        <v>10</v>
      </c>
      <c r="J354">
        <f>_xlfn.XLOOKUP(C354,dim_BMI!$C$2:$C$7,dim_BMI!$A$2:$A$7,,1)</f>
        <v>3</v>
      </c>
      <c r="K354" t="str">
        <f>_xlfn.XLOOKUP(C354,dim_BMI!$C$2:$C$7,dim_BMI!$B$2:$B$7,,1)</f>
        <v>25.0 to 29.9 (Overweight)</v>
      </c>
    </row>
    <row r="355" spans="1:11" x14ac:dyDescent="0.25">
      <c r="A355" s="1">
        <v>796</v>
      </c>
      <c r="B355">
        <v>27</v>
      </c>
      <c r="C355">
        <v>28.5</v>
      </c>
      <c r="D355">
        <v>0</v>
      </c>
      <c r="E355">
        <f t="shared" si="5"/>
        <v>1</v>
      </c>
      <c r="F355">
        <v>18310.741999999998</v>
      </c>
      <c r="G355" t="s">
        <v>13</v>
      </c>
      <c r="H355" t="s">
        <v>8</v>
      </c>
      <c r="I355" t="s">
        <v>10</v>
      </c>
      <c r="J355">
        <f>_xlfn.XLOOKUP(C355,dim_BMI!$C$2:$C$7,dim_BMI!$A$2:$A$7,,1)</f>
        <v>3</v>
      </c>
      <c r="K355" t="str">
        <f>_xlfn.XLOOKUP(C355,dim_BMI!$C$2:$C$7,dim_BMI!$B$2:$B$7,,1)</f>
        <v>25.0 to 29.9 (Overweight)</v>
      </c>
    </row>
    <row r="356" spans="1:11" x14ac:dyDescent="0.25">
      <c r="A356" s="1">
        <v>849</v>
      </c>
      <c r="B356">
        <v>27</v>
      </c>
      <c r="C356">
        <v>24.1</v>
      </c>
      <c r="D356">
        <v>0</v>
      </c>
      <c r="E356">
        <f t="shared" si="5"/>
        <v>0</v>
      </c>
      <c r="F356">
        <v>2974.1260000000002</v>
      </c>
      <c r="G356" t="s">
        <v>9</v>
      </c>
      <c r="H356" t="s">
        <v>11</v>
      </c>
      <c r="I356" t="s">
        <v>7</v>
      </c>
      <c r="J356">
        <f>_xlfn.XLOOKUP(C356,dim_BMI!$C$2:$C$7,dim_BMI!$A$2:$A$7,,1)</f>
        <v>2</v>
      </c>
      <c r="K356" t="str">
        <f>_xlfn.XLOOKUP(C356,dim_BMI!$C$2:$C$7,dim_BMI!$B$2:$B$7,,1)</f>
        <v>18.5 to 24.9 (Healthy Weight)</v>
      </c>
    </row>
    <row r="357" spans="1:11" x14ac:dyDescent="0.25">
      <c r="A357" s="1">
        <v>907</v>
      </c>
      <c r="B357">
        <v>27</v>
      </c>
      <c r="C357">
        <v>32.585000000000001</v>
      </c>
      <c r="D357">
        <v>3</v>
      </c>
      <c r="E357">
        <f t="shared" si="5"/>
        <v>0</v>
      </c>
      <c r="F357">
        <v>4846.9201499999999</v>
      </c>
      <c r="G357" t="s">
        <v>14</v>
      </c>
      <c r="H357" t="s">
        <v>11</v>
      </c>
      <c r="I357" t="s">
        <v>10</v>
      </c>
      <c r="J357">
        <f>_xlfn.XLOOKUP(C357,dim_BMI!$C$2:$C$7,dim_BMI!$A$2:$A$7,,1)</f>
        <v>4</v>
      </c>
      <c r="K357" t="str">
        <f>_xlfn.XLOOKUP(C357,dim_BMI!$C$2:$C$7,dim_BMI!$B$2:$B$7,,1)</f>
        <v>30.0 to 34.9 (Obesity Class 1)</v>
      </c>
    </row>
    <row r="358" spans="1:11" x14ac:dyDescent="0.25">
      <c r="A358" s="1">
        <v>984</v>
      </c>
      <c r="B358">
        <v>27</v>
      </c>
      <c r="C358">
        <v>30.59</v>
      </c>
      <c r="D358">
        <v>1</v>
      </c>
      <c r="E358">
        <f t="shared" si="5"/>
        <v>0</v>
      </c>
      <c r="F358">
        <v>16796.411940000002</v>
      </c>
      <c r="G358" t="s">
        <v>14</v>
      </c>
      <c r="H358" t="s">
        <v>11</v>
      </c>
      <c r="I358" t="s">
        <v>7</v>
      </c>
      <c r="J358">
        <f>_xlfn.XLOOKUP(C358,dim_BMI!$C$2:$C$7,dim_BMI!$A$2:$A$7,,1)</f>
        <v>4</v>
      </c>
      <c r="K358" t="str">
        <f>_xlfn.XLOOKUP(C358,dim_BMI!$C$2:$C$7,dim_BMI!$B$2:$B$7,,1)</f>
        <v>30.0 to 34.9 (Obesity Class 1)</v>
      </c>
    </row>
    <row r="359" spans="1:11" x14ac:dyDescent="0.25">
      <c r="A359" s="1">
        <v>995</v>
      </c>
      <c r="B359">
        <v>27</v>
      </c>
      <c r="C359">
        <v>20.045000000000002</v>
      </c>
      <c r="D359">
        <v>3</v>
      </c>
      <c r="E359">
        <f t="shared" si="5"/>
        <v>1</v>
      </c>
      <c r="F359">
        <v>16420.494549999999</v>
      </c>
      <c r="G359" t="s">
        <v>13</v>
      </c>
      <c r="H359" t="s">
        <v>8</v>
      </c>
      <c r="I359" t="s">
        <v>7</v>
      </c>
      <c r="J359">
        <f>_xlfn.XLOOKUP(C359,dim_BMI!$C$2:$C$7,dim_BMI!$A$2:$A$7,,1)</f>
        <v>2</v>
      </c>
      <c r="K359" t="str">
        <f>_xlfn.XLOOKUP(C359,dim_BMI!$C$2:$C$7,dim_BMI!$B$2:$B$7,,1)</f>
        <v>18.5 to 24.9 (Healthy Weight)</v>
      </c>
    </row>
    <row r="360" spans="1:11" x14ac:dyDescent="0.25">
      <c r="A360" s="1">
        <v>1055</v>
      </c>
      <c r="B360">
        <v>27</v>
      </c>
      <c r="C360">
        <v>21.47</v>
      </c>
      <c r="D360">
        <v>0</v>
      </c>
      <c r="E360">
        <f t="shared" si="5"/>
        <v>0</v>
      </c>
      <c r="F360">
        <v>3353.4703</v>
      </c>
      <c r="G360" t="s">
        <v>13</v>
      </c>
      <c r="H360" t="s">
        <v>11</v>
      </c>
      <c r="I360" t="s">
        <v>7</v>
      </c>
      <c r="J360">
        <f>_xlfn.XLOOKUP(C360,dim_BMI!$C$2:$C$7,dim_BMI!$A$2:$A$7,,1)</f>
        <v>2</v>
      </c>
      <c r="K360" t="str">
        <f>_xlfn.XLOOKUP(C360,dim_BMI!$C$2:$C$7,dim_BMI!$B$2:$B$7,,1)</f>
        <v>18.5 to 24.9 (Healthy Weight)</v>
      </c>
    </row>
    <row r="361" spans="1:11" x14ac:dyDescent="0.25">
      <c r="A361" s="1">
        <v>1124</v>
      </c>
      <c r="B361">
        <v>27</v>
      </c>
      <c r="C361">
        <v>32.395000000000003</v>
      </c>
      <c r="D361">
        <v>1</v>
      </c>
      <c r="E361">
        <f t="shared" si="5"/>
        <v>0</v>
      </c>
      <c r="F361">
        <v>18903.491409999999</v>
      </c>
      <c r="G361" t="s">
        <v>14</v>
      </c>
      <c r="H361" t="s">
        <v>11</v>
      </c>
      <c r="I361" t="s">
        <v>7</v>
      </c>
      <c r="J361">
        <f>_xlfn.XLOOKUP(C361,dim_BMI!$C$2:$C$7,dim_BMI!$A$2:$A$7,,1)</f>
        <v>4</v>
      </c>
      <c r="K361" t="str">
        <f>_xlfn.XLOOKUP(C361,dim_BMI!$C$2:$C$7,dim_BMI!$B$2:$B$7,,1)</f>
        <v>30.0 to 34.9 (Obesity Class 1)</v>
      </c>
    </row>
    <row r="362" spans="1:11" x14ac:dyDescent="0.25">
      <c r="A362" s="1">
        <v>1132</v>
      </c>
      <c r="B362">
        <v>27</v>
      </c>
      <c r="C362">
        <v>45.9</v>
      </c>
      <c r="D362">
        <v>2</v>
      </c>
      <c r="E362">
        <f t="shared" si="5"/>
        <v>0</v>
      </c>
      <c r="F362">
        <v>3693.4279999999999</v>
      </c>
      <c r="G362" t="s">
        <v>9</v>
      </c>
      <c r="H362" t="s">
        <v>11</v>
      </c>
      <c r="I362" t="s">
        <v>10</v>
      </c>
      <c r="J362">
        <f>_xlfn.XLOOKUP(C362,dim_BMI!$C$2:$C$7,dim_BMI!$A$2:$A$7,,1)</f>
        <v>6</v>
      </c>
      <c r="K362" t="str">
        <f>_xlfn.XLOOKUP(C362,dim_BMI!$C$2:$C$7,dim_BMI!$B$2:$B$7,,1)</f>
        <v>40 or higher (Severe Obesity Class 3)</v>
      </c>
    </row>
    <row r="363" spans="1:11" x14ac:dyDescent="0.25">
      <c r="A363" s="1">
        <v>1215</v>
      </c>
      <c r="B363">
        <v>27</v>
      </c>
      <c r="C363">
        <v>31.254999999999999</v>
      </c>
      <c r="D363">
        <v>1</v>
      </c>
      <c r="E363">
        <f t="shared" si="5"/>
        <v>0</v>
      </c>
      <c r="F363">
        <v>3956.0714499999999</v>
      </c>
      <c r="G363" t="s">
        <v>13</v>
      </c>
      <c r="H363" t="s">
        <v>11</v>
      </c>
      <c r="I363" t="s">
        <v>7</v>
      </c>
      <c r="J363">
        <f>_xlfn.XLOOKUP(C363,dim_BMI!$C$2:$C$7,dim_BMI!$A$2:$A$7,,1)</f>
        <v>4</v>
      </c>
      <c r="K363" t="str">
        <f>_xlfn.XLOOKUP(C363,dim_BMI!$C$2:$C$7,dim_BMI!$B$2:$B$7,,1)</f>
        <v>30.0 to 34.9 (Obesity Class 1)</v>
      </c>
    </row>
    <row r="364" spans="1:11" x14ac:dyDescent="0.25">
      <c r="A364" s="1">
        <v>3</v>
      </c>
      <c r="B364">
        <v>28</v>
      </c>
      <c r="C364">
        <v>33</v>
      </c>
      <c r="D364">
        <v>3</v>
      </c>
      <c r="E364">
        <f t="shared" si="5"/>
        <v>0</v>
      </c>
      <c r="F364">
        <v>4449.4620000000004</v>
      </c>
      <c r="G364" t="s">
        <v>12</v>
      </c>
      <c r="H364" t="s">
        <v>11</v>
      </c>
      <c r="I364" t="s">
        <v>10</v>
      </c>
      <c r="J364">
        <f>_xlfn.XLOOKUP(C364,dim_BMI!$C$2:$C$7,dim_BMI!$A$2:$A$7,,1)</f>
        <v>4</v>
      </c>
      <c r="K364" t="str">
        <f>_xlfn.XLOOKUP(C364,dim_BMI!$C$2:$C$7,dim_BMI!$B$2:$B$7,,1)</f>
        <v>30.0 to 34.9 (Obesity Class 1)</v>
      </c>
    </row>
    <row r="365" spans="1:11" x14ac:dyDescent="0.25">
      <c r="A365" s="1">
        <v>35</v>
      </c>
      <c r="B365">
        <v>28</v>
      </c>
      <c r="C365">
        <v>36.4</v>
      </c>
      <c r="D365">
        <v>1</v>
      </c>
      <c r="E365">
        <f t="shared" si="5"/>
        <v>1</v>
      </c>
      <c r="F365">
        <v>51194.559139999998</v>
      </c>
      <c r="G365" t="s">
        <v>9</v>
      </c>
      <c r="H365" t="s">
        <v>8</v>
      </c>
      <c r="I365" t="s">
        <v>10</v>
      </c>
      <c r="J365">
        <f>_xlfn.XLOOKUP(C365,dim_BMI!$C$2:$C$7,dim_BMI!$A$2:$A$7,,1)</f>
        <v>5</v>
      </c>
      <c r="K365" t="str">
        <f>_xlfn.XLOOKUP(C365,dim_BMI!$C$2:$C$7,dim_BMI!$B$2:$B$7,,1)</f>
        <v>35 to 39.9 (Obesity Class 2)</v>
      </c>
    </row>
    <row r="366" spans="1:11" x14ac:dyDescent="0.25">
      <c r="A366" s="1">
        <v>48</v>
      </c>
      <c r="B366">
        <v>28</v>
      </c>
      <c r="C366">
        <v>34.770000000000003</v>
      </c>
      <c r="D366">
        <v>0</v>
      </c>
      <c r="E366">
        <f t="shared" si="5"/>
        <v>0</v>
      </c>
      <c r="F366">
        <v>3556.9223000000002</v>
      </c>
      <c r="G366" t="s">
        <v>13</v>
      </c>
      <c r="H366" t="s">
        <v>11</v>
      </c>
      <c r="I366" t="s">
        <v>7</v>
      </c>
      <c r="J366">
        <f>_xlfn.XLOOKUP(C366,dim_BMI!$C$2:$C$7,dim_BMI!$A$2:$A$7,,1)</f>
        <v>4</v>
      </c>
      <c r="K366" t="str">
        <f>_xlfn.XLOOKUP(C366,dim_BMI!$C$2:$C$7,dim_BMI!$B$2:$B$7,,1)</f>
        <v>30.0 to 34.9 (Obesity Class 1)</v>
      </c>
    </row>
    <row r="367" spans="1:11" x14ac:dyDescent="0.25">
      <c r="A367" s="1">
        <v>64</v>
      </c>
      <c r="B367">
        <v>28</v>
      </c>
      <c r="C367">
        <v>25.934999999999999</v>
      </c>
      <c r="D367">
        <v>1</v>
      </c>
      <c r="E367">
        <f t="shared" si="5"/>
        <v>0</v>
      </c>
      <c r="F367">
        <v>4133.6416499999996</v>
      </c>
      <c r="G367" t="s">
        <v>13</v>
      </c>
      <c r="H367" t="s">
        <v>11</v>
      </c>
      <c r="I367" t="s">
        <v>7</v>
      </c>
      <c r="J367">
        <f>_xlfn.XLOOKUP(C367,dim_BMI!$C$2:$C$7,dim_BMI!$A$2:$A$7,,1)</f>
        <v>3</v>
      </c>
      <c r="K367" t="str">
        <f>_xlfn.XLOOKUP(C367,dim_BMI!$C$2:$C$7,dim_BMI!$B$2:$B$7,,1)</f>
        <v>25.0 to 29.9 (Overweight)</v>
      </c>
    </row>
    <row r="368" spans="1:11" x14ac:dyDescent="0.25">
      <c r="A368" s="1">
        <v>70</v>
      </c>
      <c r="B368">
        <v>28</v>
      </c>
      <c r="C368">
        <v>23.98</v>
      </c>
      <c r="D368">
        <v>3</v>
      </c>
      <c r="E368">
        <f t="shared" si="5"/>
        <v>1</v>
      </c>
      <c r="F368">
        <v>17663.144199999999</v>
      </c>
      <c r="G368" t="s">
        <v>12</v>
      </c>
      <c r="H368" t="s">
        <v>8</v>
      </c>
      <c r="I368" t="s">
        <v>10</v>
      </c>
      <c r="J368">
        <f>_xlfn.XLOOKUP(C368,dim_BMI!$C$2:$C$7,dim_BMI!$A$2:$A$7,,1)</f>
        <v>2</v>
      </c>
      <c r="K368" t="str">
        <f>_xlfn.XLOOKUP(C368,dim_BMI!$C$2:$C$7,dim_BMI!$B$2:$B$7,,1)</f>
        <v>18.5 to 24.9 (Healthy Weight)</v>
      </c>
    </row>
    <row r="369" spans="1:11" x14ac:dyDescent="0.25">
      <c r="A369" s="1">
        <v>96</v>
      </c>
      <c r="B369">
        <v>28</v>
      </c>
      <c r="C369">
        <v>37.619999999999997</v>
      </c>
      <c r="D369">
        <v>1</v>
      </c>
      <c r="E369">
        <f t="shared" si="5"/>
        <v>0</v>
      </c>
      <c r="F369">
        <v>3766.8838000000001</v>
      </c>
      <c r="G369" t="s">
        <v>12</v>
      </c>
      <c r="H369" t="s">
        <v>11</v>
      </c>
      <c r="I369" t="s">
        <v>7</v>
      </c>
      <c r="J369">
        <f>_xlfn.XLOOKUP(C369,dim_BMI!$C$2:$C$7,dim_BMI!$A$2:$A$7,,1)</f>
        <v>5</v>
      </c>
      <c r="K369" t="str">
        <f>_xlfn.XLOOKUP(C369,dim_BMI!$C$2:$C$7,dim_BMI!$B$2:$B$7,,1)</f>
        <v>35 to 39.9 (Obesity Class 2)</v>
      </c>
    </row>
    <row r="370" spans="1:11" x14ac:dyDescent="0.25">
      <c r="A370" s="1">
        <v>206</v>
      </c>
      <c r="B370">
        <v>28</v>
      </c>
      <c r="C370">
        <v>28.88</v>
      </c>
      <c r="D370">
        <v>1</v>
      </c>
      <c r="E370">
        <f t="shared" si="5"/>
        <v>0</v>
      </c>
      <c r="F370">
        <v>4337.7352000000001</v>
      </c>
      <c r="G370" t="s">
        <v>14</v>
      </c>
      <c r="H370" t="s">
        <v>11</v>
      </c>
      <c r="I370" t="s">
        <v>7</v>
      </c>
      <c r="J370">
        <f>_xlfn.XLOOKUP(C370,dim_BMI!$C$2:$C$7,dim_BMI!$A$2:$A$7,,1)</f>
        <v>3</v>
      </c>
      <c r="K370" t="str">
        <f>_xlfn.XLOOKUP(C370,dim_BMI!$C$2:$C$7,dim_BMI!$B$2:$B$7,,1)</f>
        <v>25.0 to 29.9 (Overweight)</v>
      </c>
    </row>
    <row r="371" spans="1:11" x14ac:dyDescent="0.25">
      <c r="A371" s="1">
        <v>227</v>
      </c>
      <c r="B371">
        <v>28</v>
      </c>
      <c r="C371">
        <v>38.06</v>
      </c>
      <c r="D371">
        <v>0</v>
      </c>
      <c r="E371">
        <f t="shared" si="5"/>
        <v>0</v>
      </c>
      <c r="F371">
        <v>2689.4953999999998</v>
      </c>
      <c r="G371" t="s">
        <v>12</v>
      </c>
      <c r="H371" t="s">
        <v>11</v>
      </c>
      <c r="I371" t="s">
        <v>10</v>
      </c>
      <c r="J371">
        <f>_xlfn.XLOOKUP(C371,dim_BMI!$C$2:$C$7,dim_BMI!$A$2:$A$7,,1)</f>
        <v>5</v>
      </c>
      <c r="K371" t="str">
        <f>_xlfn.XLOOKUP(C371,dim_BMI!$C$2:$C$7,dim_BMI!$B$2:$B$7,,1)</f>
        <v>35 to 39.9 (Obesity Class 2)</v>
      </c>
    </row>
    <row r="372" spans="1:11" x14ac:dyDescent="0.25">
      <c r="A372" s="1">
        <v>291</v>
      </c>
      <c r="B372">
        <v>28</v>
      </c>
      <c r="C372">
        <v>33.4</v>
      </c>
      <c r="D372">
        <v>0</v>
      </c>
      <c r="E372">
        <f t="shared" si="5"/>
        <v>0</v>
      </c>
      <c r="F372">
        <v>3172.018</v>
      </c>
      <c r="G372" t="s">
        <v>9</v>
      </c>
      <c r="H372" t="s">
        <v>11</v>
      </c>
      <c r="I372" t="s">
        <v>7</v>
      </c>
      <c r="J372">
        <f>_xlfn.XLOOKUP(C372,dim_BMI!$C$2:$C$7,dim_BMI!$A$2:$A$7,,1)</f>
        <v>4</v>
      </c>
      <c r="K372" t="str">
        <f>_xlfn.XLOOKUP(C372,dim_BMI!$C$2:$C$7,dim_BMI!$B$2:$B$7,,1)</f>
        <v>30.0 to 34.9 (Obesity Class 1)</v>
      </c>
    </row>
    <row r="373" spans="1:11" x14ac:dyDescent="0.25">
      <c r="A373" s="1">
        <v>304</v>
      </c>
      <c r="B373">
        <v>28</v>
      </c>
      <c r="C373">
        <v>33</v>
      </c>
      <c r="D373">
        <v>2</v>
      </c>
      <c r="E373">
        <f t="shared" si="5"/>
        <v>0</v>
      </c>
      <c r="F373">
        <v>4349.4620000000004</v>
      </c>
      <c r="G373" t="s">
        <v>12</v>
      </c>
      <c r="H373" t="s">
        <v>11</v>
      </c>
      <c r="I373" t="s">
        <v>7</v>
      </c>
      <c r="J373">
        <f>_xlfn.XLOOKUP(C373,dim_BMI!$C$2:$C$7,dim_BMI!$A$2:$A$7,,1)</f>
        <v>4</v>
      </c>
      <c r="K373" t="str">
        <f>_xlfn.XLOOKUP(C373,dim_BMI!$C$2:$C$7,dim_BMI!$B$2:$B$7,,1)</f>
        <v>30.0 to 34.9 (Obesity Class 1)</v>
      </c>
    </row>
    <row r="374" spans="1:11" x14ac:dyDescent="0.25">
      <c r="A374" s="1">
        <v>307</v>
      </c>
      <c r="B374">
        <v>28</v>
      </c>
      <c r="C374">
        <v>27.5</v>
      </c>
      <c r="D374">
        <v>2</v>
      </c>
      <c r="E374">
        <f t="shared" si="5"/>
        <v>0</v>
      </c>
      <c r="F374">
        <v>20177.671129999999</v>
      </c>
      <c r="G374" t="s">
        <v>9</v>
      </c>
      <c r="H374" t="s">
        <v>11</v>
      </c>
      <c r="I374" t="s">
        <v>7</v>
      </c>
      <c r="J374">
        <f>_xlfn.XLOOKUP(C374,dim_BMI!$C$2:$C$7,dim_BMI!$A$2:$A$7,,1)</f>
        <v>3</v>
      </c>
      <c r="K374" t="str">
        <f>_xlfn.XLOOKUP(C374,dim_BMI!$C$2:$C$7,dim_BMI!$B$2:$B$7,,1)</f>
        <v>25.0 to 29.9 (Overweight)</v>
      </c>
    </row>
    <row r="375" spans="1:11" x14ac:dyDescent="0.25">
      <c r="A375" s="1">
        <v>469</v>
      </c>
      <c r="B375">
        <v>28</v>
      </c>
      <c r="C375">
        <v>24.32</v>
      </c>
      <c r="D375">
        <v>1</v>
      </c>
      <c r="E375">
        <f t="shared" si="5"/>
        <v>0</v>
      </c>
      <c r="F375">
        <v>23288.928400000001</v>
      </c>
      <c r="G375" t="s">
        <v>14</v>
      </c>
      <c r="H375" t="s">
        <v>11</v>
      </c>
      <c r="I375" t="s">
        <v>7</v>
      </c>
      <c r="J375">
        <f>_xlfn.XLOOKUP(C375,dim_BMI!$C$2:$C$7,dim_BMI!$A$2:$A$7,,1)</f>
        <v>2</v>
      </c>
      <c r="K375" t="str">
        <f>_xlfn.XLOOKUP(C375,dim_BMI!$C$2:$C$7,dim_BMI!$B$2:$B$7,,1)</f>
        <v>18.5 to 24.9 (Healthy Weight)</v>
      </c>
    </row>
    <row r="376" spans="1:11" x14ac:dyDescent="0.25">
      <c r="A376" s="1">
        <v>547</v>
      </c>
      <c r="B376">
        <v>28</v>
      </c>
      <c r="C376">
        <v>35.435000000000002</v>
      </c>
      <c r="D376">
        <v>0</v>
      </c>
      <c r="E376">
        <f t="shared" si="5"/>
        <v>0</v>
      </c>
      <c r="F376">
        <v>3268.84665</v>
      </c>
      <c r="G376" t="s">
        <v>14</v>
      </c>
      <c r="H376" t="s">
        <v>11</v>
      </c>
      <c r="I376" t="s">
        <v>10</v>
      </c>
      <c r="J376">
        <f>_xlfn.XLOOKUP(C376,dim_BMI!$C$2:$C$7,dim_BMI!$A$2:$A$7,,1)</f>
        <v>5</v>
      </c>
      <c r="K376" t="str">
        <f>_xlfn.XLOOKUP(C376,dim_BMI!$C$2:$C$7,dim_BMI!$B$2:$B$7,,1)</f>
        <v>35 to 39.9 (Obesity Class 2)</v>
      </c>
    </row>
    <row r="377" spans="1:11" x14ac:dyDescent="0.25">
      <c r="A377" s="1">
        <v>556</v>
      </c>
      <c r="B377">
        <v>28</v>
      </c>
      <c r="C377">
        <v>23.8</v>
      </c>
      <c r="D377">
        <v>2</v>
      </c>
      <c r="E377">
        <f t="shared" si="5"/>
        <v>0</v>
      </c>
      <c r="F377">
        <v>3847.674</v>
      </c>
      <c r="G377" t="s">
        <v>9</v>
      </c>
      <c r="H377" t="s">
        <v>11</v>
      </c>
      <c r="I377" t="s">
        <v>10</v>
      </c>
      <c r="J377">
        <f>_xlfn.XLOOKUP(C377,dim_BMI!$C$2:$C$7,dim_BMI!$A$2:$A$7,,1)</f>
        <v>2</v>
      </c>
      <c r="K377" t="str">
        <f>_xlfn.XLOOKUP(C377,dim_BMI!$C$2:$C$7,dim_BMI!$B$2:$B$7,,1)</f>
        <v>18.5 to 24.9 (Healthy Weight)</v>
      </c>
    </row>
    <row r="378" spans="1:11" x14ac:dyDescent="0.25">
      <c r="A378" s="1">
        <v>609</v>
      </c>
      <c r="B378">
        <v>28</v>
      </c>
      <c r="C378">
        <v>26.98</v>
      </c>
      <c r="D378">
        <v>2</v>
      </c>
      <c r="E378">
        <f t="shared" si="5"/>
        <v>0</v>
      </c>
      <c r="F378">
        <v>4435.0941999999995</v>
      </c>
      <c r="G378" t="s">
        <v>14</v>
      </c>
      <c r="H378" t="s">
        <v>11</v>
      </c>
      <c r="I378" t="s">
        <v>10</v>
      </c>
      <c r="J378">
        <f>_xlfn.XLOOKUP(C378,dim_BMI!$C$2:$C$7,dim_BMI!$A$2:$A$7,,1)</f>
        <v>3</v>
      </c>
      <c r="K378" t="str">
        <f>_xlfn.XLOOKUP(C378,dim_BMI!$C$2:$C$7,dim_BMI!$B$2:$B$7,,1)</f>
        <v>25.0 to 29.9 (Overweight)</v>
      </c>
    </row>
    <row r="379" spans="1:11" x14ac:dyDescent="0.25">
      <c r="A379" s="1">
        <v>750</v>
      </c>
      <c r="B379">
        <v>28</v>
      </c>
      <c r="C379">
        <v>30.875</v>
      </c>
      <c r="D379">
        <v>0</v>
      </c>
      <c r="E379">
        <f t="shared" si="5"/>
        <v>0</v>
      </c>
      <c r="F379">
        <v>3062.5082499999999</v>
      </c>
      <c r="G379" t="s">
        <v>13</v>
      </c>
      <c r="H379" t="s">
        <v>11</v>
      </c>
      <c r="I379" t="s">
        <v>10</v>
      </c>
      <c r="J379">
        <f>_xlfn.XLOOKUP(C379,dim_BMI!$C$2:$C$7,dim_BMI!$A$2:$A$7,,1)</f>
        <v>4</v>
      </c>
      <c r="K379" t="str">
        <f>_xlfn.XLOOKUP(C379,dim_BMI!$C$2:$C$7,dim_BMI!$B$2:$B$7,,1)</f>
        <v>30.0 to 34.9 (Obesity Class 1)</v>
      </c>
    </row>
    <row r="380" spans="1:11" x14ac:dyDescent="0.25">
      <c r="A380" s="1">
        <v>814</v>
      </c>
      <c r="B380">
        <v>28</v>
      </c>
      <c r="C380">
        <v>22.515000000000001</v>
      </c>
      <c r="D380">
        <v>2</v>
      </c>
      <c r="E380">
        <f t="shared" si="5"/>
        <v>0</v>
      </c>
      <c r="F380">
        <v>4428.8878500000001</v>
      </c>
      <c r="G380" t="s">
        <v>14</v>
      </c>
      <c r="H380" t="s">
        <v>11</v>
      </c>
      <c r="I380" t="s">
        <v>10</v>
      </c>
      <c r="J380">
        <f>_xlfn.XLOOKUP(C380,dim_BMI!$C$2:$C$7,dim_BMI!$A$2:$A$7,,1)</f>
        <v>2</v>
      </c>
      <c r="K380" t="str">
        <f>_xlfn.XLOOKUP(C380,dim_BMI!$C$2:$C$7,dim_BMI!$B$2:$B$7,,1)</f>
        <v>18.5 to 24.9 (Healthy Weight)</v>
      </c>
    </row>
    <row r="381" spans="1:11" x14ac:dyDescent="0.25">
      <c r="A381" s="1">
        <v>833</v>
      </c>
      <c r="B381">
        <v>28</v>
      </c>
      <c r="C381">
        <v>23.844999999999999</v>
      </c>
      <c r="D381">
        <v>2</v>
      </c>
      <c r="E381">
        <f t="shared" si="5"/>
        <v>0</v>
      </c>
      <c r="F381">
        <v>4719.7365499999996</v>
      </c>
      <c r="G381" t="s">
        <v>13</v>
      </c>
      <c r="H381" t="s">
        <v>11</v>
      </c>
      <c r="I381" t="s">
        <v>7</v>
      </c>
      <c r="J381">
        <f>_xlfn.XLOOKUP(C381,dim_BMI!$C$2:$C$7,dim_BMI!$A$2:$A$7,,1)</f>
        <v>2</v>
      </c>
      <c r="K381" t="str">
        <f>_xlfn.XLOOKUP(C381,dim_BMI!$C$2:$C$7,dim_BMI!$B$2:$B$7,,1)</f>
        <v>18.5 to 24.9 (Healthy Weight)</v>
      </c>
    </row>
    <row r="382" spans="1:11" x14ac:dyDescent="0.25">
      <c r="A382" s="1">
        <v>1007</v>
      </c>
      <c r="B382">
        <v>28</v>
      </c>
      <c r="C382">
        <v>29.26</v>
      </c>
      <c r="D382">
        <v>2</v>
      </c>
      <c r="E382">
        <f t="shared" si="5"/>
        <v>0</v>
      </c>
      <c r="F382">
        <v>4438.2633999999998</v>
      </c>
      <c r="G382" t="s">
        <v>14</v>
      </c>
      <c r="H382" t="s">
        <v>11</v>
      </c>
      <c r="I382" t="s">
        <v>10</v>
      </c>
      <c r="J382">
        <f>_xlfn.XLOOKUP(C382,dim_BMI!$C$2:$C$7,dim_BMI!$A$2:$A$7,,1)</f>
        <v>3</v>
      </c>
      <c r="K382" t="str">
        <f>_xlfn.XLOOKUP(C382,dim_BMI!$C$2:$C$7,dim_BMI!$B$2:$B$7,,1)</f>
        <v>25.0 to 29.9 (Overweight)</v>
      </c>
    </row>
    <row r="383" spans="1:11" x14ac:dyDescent="0.25">
      <c r="A383" s="1">
        <v>1044</v>
      </c>
      <c r="B383">
        <v>28</v>
      </c>
      <c r="C383">
        <v>25.8</v>
      </c>
      <c r="D383">
        <v>0</v>
      </c>
      <c r="E383">
        <f t="shared" si="5"/>
        <v>0</v>
      </c>
      <c r="F383">
        <v>3161.4540000000002</v>
      </c>
      <c r="G383" t="s">
        <v>9</v>
      </c>
      <c r="H383" t="s">
        <v>11</v>
      </c>
      <c r="I383" t="s">
        <v>7</v>
      </c>
      <c r="J383">
        <f>_xlfn.XLOOKUP(C383,dim_BMI!$C$2:$C$7,dim_BMI!$A$2:$A$7,,1)</f>
        <v>3</v>
      </c>
      <c r="K383" t="str">
        <f>_xlfn.XLOOKUP(C383,dim_BMI!$C$2:$C$7,dim_BMI!$B$2:$B$7,,1)</f>
        <v>25.0 to 29.9 (Overweight)</v>
      </c>
    </row>
    <row r="384" spans="1:11" x14ac:dyDescent="0.25">
      <c r="A384" s="1">
        <v>1079</v>
      </c>
      <c r="B384">
        <v>28</v>
      </c>
      <c r="C384">
        <v>31.68</v>
      </c>
      <c r="D384">
        <v>0</v>
      </c>
      <c r="E384">
        <f t="shared" si="5"/>
        <v>1</v>
      </c>
      <c r="F384">
        <v>34672.147199999999</v>
      </c>
      <c r="G384" t="s">
        <v>12</v>
      </c>
      <c r="H384" t="s">
        <v>8</v>
      </c>
      <c r="I384" t="s">
        <v>10</v>
      </c>
      <c r="J384">
        <f>_xlfn.XLOOKUP(C384,dim_BMI!$C$2:$C$7,dim_BMI!$A$2:$A$7,,1)</f>
        <v>4</v>
      </c>
      <c r="K384" t="str">
        <f>_xlfn.XLOOKUP(C384,dim_BMI!$C$2:$C$7,dim_BMI!$B$2:$B$7,,1)</f>
        <v>30.0 to 34.9 (Obesity Class 1)</v>
      </c>
    </row>
    <row r="385" spans="1:11" x14ac:dyDescent="0.25">
      <c r="A385" s="1">
        <v>1114</v>
      </c>
      <c r="B385">
        <v>28</v>
      </c>
      <c r="C385">
        <v>26.315000000000001</v>
      </c>
      <c r="D385">
        <v>3</v>
      </c>
      <c r="E385">
        <f t="shared" si="5"/>
        <v>0</v>
      </c>
      <c r="F385">
        <v>5312.1698500000002</v>
      </c>
      <c r="G385" t="s">
        <v>13</v>
      </c>
      <c r="H385" t="s">
        <v>11</v>
      </c>
      <c r="I385" t="s">
        <v>7</v>
      </c>
      <c r="J385">
        <f>_xlfn.XLOOKUP(C385,dim_BMI!$C$2:$C$7,dim_BMI!$A$2:$A$7,,1)</f>
        <v>3</v>
      </c>
      <c r="K385" t="str">
        <f>_xlfn.XLOOKUP(C385,dim_BMI!$C$2:$C$7,dim_BMI!$B$2:$B$7,,1)</f>
        <v>25.0 to 29.9 (Overweight)</v>
      </c>
    </row>
    <row r="386" spans="1:11" x14ac:dyDescent="0.25">
      <c r="A386" s="1">
        <v>1135</v>
      </c>
      <c r="B386">
        <v>28</v>
      </c>
      <c r="C386">
        <v>33.82</v>
      </c>
      <c r="D386">
        <v>0</v>
      </c>
      <c r="E386">
        <f t="shared" si="5"/>
        <v>0</v>
      </c>
      <c r="F386">
        <v>19673.335729999999</v>
      </c>
      <c r="G386" t="s">
        <v>13</v>
      </c>
      <c r="H386" t="s">
        <v>11</v>
      </c>
      <c r="I386" t="s">
        <v>10</v>
      </c>
      <c r="J386">
        <f>_xlfn.XLOOKUP(C386,dim_BMI!$C$2:$C$7,dim_BMI!$A$2:$A$7,,1)</f>
        <v>4</v>
      </c>
      <c r="K386" t="str">
        <f>_xlfn.XLOOKUP(C386,dim_BMI!$C$2:$C$7,dim_BMI!$B$2:$B$7,,1)</f>
        <v>30.0 to 34.9 (Obesity Class 1)</v>
      </c>
    </row>
    <row r="387" spans="1:11" x14ac:dyDescent="0.25">
      <c r="A387" s="1">
        <v>1244</v>
      </c>
      <c r="B387">
        <v>28</v>
      </c>
      <c r="C387">
        <v>33.11</v>
      </c>
      <c r="D387">
        <v>0</v>
      </c>
      <c r="E387">
        <f t="shared" ref="E387:E450" si="6">IF(H387="yes",1,0)</f>
        <v>0</v>
      </c>
      <c r="F387">
        <v>3171.6149</v>
      </c>
      <c r="G387" t="s">
        <v>12</v>
      </c>
      <c r="H387" t="s">
        <v>11</v>
      </c>
      <c r="I387" t="s">
        <v>7</v>
      </c>
      <c r="J387">
        <f>_xlfn.XLOOKUP(C387,dim_BMI!$C$2:$C$7,dim_BMI!$A$2:$A$7,,1)</f>
        <v>4</v>
      </c>
      <c r="K387" t="str">
        <f>_xlfn.XLOOKUP(C387,dim_BMI!$C$2:$C$7,dim_BMI!$B$2:$B$7,,1)</f>
        <v>30.0 to 34.9 (Obesity Class 1)</v>
      </c>
    </row>
    <row r="388" spans="1:11" x14ac:dyDescent="0.25">
      <c r="A388" s="1">
        <v>1246</v>
      </c>
      <c r="B388">
        <v>28</v>
      </c>
      <c r="C388">
        <v>24.3</v>
      </c>
      <c r="D388">
        <v>5</v>
      </c>
      <c r="E388">
        <f t="shared" si="6"/>
        <v>0</v>
      </c>
      <c r="F388">
        <v>5615.3689999999997</v>
      </c>
      <c r="G388" t="s">
        <v>9</v>
      </c>
      <c r="H388" t="s">
        <v>11</v>
      </c>
      <c r="I388" t="s">
        <v>10</v>
      </c>
      <c r="J388">
        <f>_xlfn.XLOOKUP(C388,dim_BMI!$C$2:$C$7,dim_BMI!$A$2:$A$7,,1)</f>
        <v>2</v>
      </c>
      <c r="K388" t="str">
        <f>_xlfn.XLOOKUP(C388,dim_BMI!$C$2:$C$7,dim_BMI!$B$2:$B$7,,1)</f>
        <v>18.5 to 24.9 (Healthy Weight)</v>
      </c>
    </row>
    <row r="389" spans="1:11" x14ac:dyDescent="0.25">
      <c r="A389" s="1">
        <v>1262</v>
      </c>
      <c r="B389">
        <v>28</v>
      </c>
      <c r="C389">
        <v>37.1</v>
      </c>
      <c r="D389">
        <v>1</v>
      </c>
      <c r="E389">
        <f t="shared" si="6"/>
        <v>0</v>
      </c>
      <c r="F389">
        <v>3277.1610000000001</v>
      </c>
      <c r="G389" t="s">
        <v>9</v>
      </c>
      <c r="H389" t="s">
        <v>11</v>
      </c>
      <c r="I389" t="s">
        <v>10</v>
      </c>
      <c r="J389">
        <f>_xlfn.XLOOKUP(C389,dim_BMI!$C$2:$C$7,dim_BMI!$A$2:$A$7,,1)</f>
        <v>5</v>
      </c>
      <c r="K389" t="str">
        <f>_xlfn.XLOOKUP(C389,dim_BMI!$C$2:$C$7,dim_BMI!$B$2:$B$7,,1)</f>
        <v>35 to 39.9 (Obesity Class 2)</v>
      </c>
    </row>
    <row r="390" spans="1:11" x14ac:dyDescent="0.25">
      <c r="A390" s="1">
        <v>1287</v>
      </c>
      <c r="B390">
        <v>28</v>
      </c>
      <c r="C390">
        <v>17.29</v>
      </c>
      <c r="D390">
        <v>0</v>
      </c>
      <c r="E390">
        <f t="shared" si="6"/>
        <v>0</v>
      </c>
      <c r="F390">
        <v>3732.6251000000002</v>
      </c>
      <c r="G390" t="s">
        <v>14</v>
      </c>
      <c r="H390" t="s">
        <v>11</v>
      </c>
      <c r="I390" t="s">
        <v>7</v>
      </c>
      <c r="J390">
        <f>_xlfn.XLOOKUP(C390,dim_BMI!$C$2:$C$7,dim_BMI!$A$2:$A$7,,1)</f>
        <v>1</v>
      </c>
      <c r="K390" t="str">
        <f>_xlfn.XLOOKUP(C390,dim_BMI!$C$2:$C$7,dim_BMI!$B$2:$B$7,,1)</f>
        <v>18.49 or less (Underweight)</v>
      </c>
    </row>
    <row r="391" spans="1:11" x14ac:dyDescent="0.25">
      <c r="A391" s="1">
        <v>1298</v>
      </c>
      <c r="B391">
        <v>28</v>
      </c>
      <c r="C391">
        <v>26.51</v>
      </c>
      <c r="D391">
        <v>2</v>
      </c>
      <c r="E391">
        <f t="shared" si="6"/>
        <v>0</v>
      </c>
      <c r="F391">
        <v>4340.4408999999996</v>
      </c>
      <c r="G391" t="s">
        <v>12</v>
      </c>
      <c r="H391" t="s">
        <v>11</v>
      </c>
      <c r="I391" t="s">
        <v>7</v>
      </c>
      <c r="J391">
        <f>_xlfn.XLOOKUP(C391,dim_BMI!$C$2:$C$7,dim_BMI!$A$2:$A$7,,1)</f>
        <v>3</v>
      </c>
      <c r="K391" t="str">
        <f>_xlfn.XLOOKUP(C391,dim_BMI!$C$2:$C$7,dim_BMI!$B$2:$B$7,,1)</f>
        <v>25.0 to 29.9 (Overweight)</v>
      </c>
    </row>
    <row r="392" spans="1:11" x14ac:dyDescent="0.25">
      <c r="A392" s="1">
        <v>77</v>
      </c>
      <c r="B392">
        <v>29</v>
      </c>
      <c r="C392">
        <v>29.59</v>
      </c>
      <c r="D392">
        <v>1</v>
      </c>
      <c r="E392">
        <f t="shared" si="6"/>
        <v>0</v>
      </c>
      <c r="F392">
        <v>3947.4131000000002</v>
      </c>
      <c r="G392" t="s">
        <v>12</v>
      </c>
      <c r="H392" t="s">
        <v>11</v>
      </c>
      <c r="I392" t="s">
        <v>7</v>
      </c>
      <c r="J392">
        <f>_xlfn.XLOOKUP(C392,dim_BMI!$C$2:$C$7,dim_BMI!$A$2:$A$7,,1)</f>
        <v>3</v>
      </c>
      <c r="K392" t="str">
        <f>_xlfn.XLOOKUP(C392,dim_BMI!$C$2:$C$7,dim_BMI!$B$2:$B$7,,1)</f>
        <v>25.0 to 29.9 (Overweight)</v>
      </c>
    </row>
    <row r="393" spans="1:11" x14ac:dyDescent="0.25">
      <c r="A393" s="1">
        <v>109</v>
      </c>
      <c r="B393">
        <v>29</v>
      </c>
      <c r="C393">
        <v>27.94</v>
      </c>
      <c r="D393">
        <v>0</v>
      </c>
      <c r="E393">
        <f t="shared" si="6"/>
        <v>0</v>
      </c>
      <c r="F393">
        <v>2867.1196</v>
      </c>
      <c r="G393" t="s">
        <v>12</v>
      </c>
      <c r="H393" t="s">
        <v>11</v>
      </c>
      <c r="I393" t="s">
        <v>10</v>
      </c>
      <c r="J393">
        <f>_xlfn.XLOOKUP(C393,dim_BMI!$C$2:$C$7,dim_BMI!$A$2:$A$7,,1)</f>
        <v>3</v>
      </c>
      <c r="K393" t="str">
        <f>_xlfn.XLOOKUP(C393,dim_BMI!$C$2:$C$7,dim_BMI!$B$2:$B$7,,1)</f>
        <v>25.0 to 29.9 (Overweight)</v>
      </c>
    </row>
    <row r="394" spans="1:11" x14ac:dyDescent="0.25">
      <c r="A394" s="1">
        <v>118</v>
      </c>
      <c r="B394">
        <v>29</v>
      </c>
      <c r="C394">
        <v>27.94</v>
      </c>
      <c r="D394">
        <v>1</v>
      </c>
      <c r="E394">
        <f t="shared" si="6"/>
        <v>1</v>
      </c>
      <c r="F394">
        <v>19107.779600000002</v>
      </c>
      <c r="G394" t="s">
        <v>12</v>
      </c>
      <c r="H394" t="s">
        <v>8</v>
      </c>
      <c r="I394" t="s">
        <v>7</v>
      </c>
      <c r="J394">
        <f>_xlfn.XLOOKUP(C394,dim_BMI!$C$2:$C$7,dim_BMI!$A$2:$A$7,,1)</f>
        <v>3</v>
      </c>
      <c r="K394" t="str">
        <f>_xlfn.XLOOKUP(C394,dim_BMI!$C$2:$C$7,dim_BMI!$B$2:$B$7,,1)</f>
        <v>25.0 to 29.9 (Overweight)</v>
      </c>
    </row>
    <row r="395" spans="1:11" x14ac:dyDescent="0.25">
      <c r="A395" s="1">
        <v>144</v>
      </c>
      <c r="B395">
        <v>29</v>
      </c>
      <c r="C395">
        <v>29.734999999999999</v>
      </c>
      <c r="D395">
        <v>2</v>
      </c>
      <c r="E395">
        <f t="shared" si="6"/>
        <v>0</v>
      </c>
      <c r="F395">
        <v>18157.876</v>
      </c>
      <c r="G395" t="s">
        <v>13</v>
      </c>
      <c r="H395" t="s">
        <v>11</v>
      </c>
      <c r="I395" t="s">
        <v>10</v>
      </c>
      <c r="J395">
        <f>_xlfn.XLOOKUP(C395,dim_BMI!$C$2:$C$7,dim_BMI!$A$2:$A$7,,1)</f>
        <v>3</v>
      </c>
      <c r="K395" t="str">
        <f>_xlfn.XLOOKUP(C395,dim_BMI!$C$2:$C$7,dim_BMI!$B$2:$B$7,,1)</f>
        <v>25.0 to 29.9 (Overweight)</v>
      </c>
    </row>
    <row r="396" spans="1:11" x14ac:dyDescent="0.25">
      <c r="A396" s="1">
        <v>146</v>
      </c>
      <c r="B396">
        <v>29</v>
      </c>
      <c r="C396">
        <v>38.83</v>
      </c>
      <c r="D396">
        <v>3</v>
      </c>
      <c r="E396">
        <f t="shared" si="6"/>
        <v>0</v>
      </c>
      <c r="F396">
        <v>5138.2566999999999</v>
      </c>
      <c r="G396" t="s">
        <v>12</v>
      </c>
      <c r="H396" t="s">
        <v>11</v>
      </c>
      <c r="I396" t="s">
        <v>7</v>
      </c>
      <c r="J396">
        <f>_xlfn.XLOOKUP(C396,dim_BMI!$C$2:$C$7,dim_BMI!$A$2:$A$7,,1)</f>
        <v>5</v>
      </c>
      <c r="K396" t="str">
        <f>_xlfn.XLOOKUP(C396,dim_BMI!$C$2:$C$7,dim_BMI!$B$2:$B$7,,1)</f>
        <v>35 to 39.9 (Obesity Class 2)</v>
      </c>
    </row>
    <row r="397" spans="1:11" x14ac:dyDescent="0.25">
      <c r="A397" s="1">
        <v>190</v>
      </c>
      <c r="B397">
        <v>29</v>
      </c>
      <c r="C397">
        <v>32.11</v>
      </c>
      <c r="D397">
        <v>2</v>
      </c>
      <c r="E397">
        <f t="shared" si="6"/>
        <v>0</v>
      </c>
      <c r="F397">
        <v>4922.9159</v>
      </c>
      <c r="G397" t="s">
        <v>13</v>
      </c>
      <c r="H397" t="s">
        <v>11</v>
      </c>
      <c r="I397" t="s">
        <v>7</v>
      </c>
      <c r="J397">
        <f>_xlfn.XLOOKUP(C397,dim_BMI!$C$2:$C$7,dim_BMI!$A$2:$A$7,,1)</f>
        <v>4</v>
      </c>
      <c r="K397" t="str">
        <f>_xlfn.XLOOKUP(C397,dim_BMI!$C$2:$C$7,dim_BMI!$B$2:$B$7,,1)</f>
        <v>30.0 to 34.9 (Obesity Class 1)</v>
      </c>
    </row>
    <row r="398" spans="1:11" x14ac:dyDescent="0.25">
      <c r="A398" s="1">
        <v>250</v>
      </c>
      <c r="B398">
        <v>29</v>
      </c>
      <c r="C398">
        <v>28.975000000000001</v>
      </c>
      <c r="D398">
        <v>1</v>
      </c>
      <c r="E398">
        <f t="shared" si="6"/>
        <v>0</v>
      </c>
      <c r="F398">
        <v>4040.55825</v>
      </c>
      <c r="G398" t="s">
        <v>14</v>
      </c>
      <c r="H398" t="s">
        <v>11</v>
      </c>
      <c r="I398" t="s">
        <v>10</v>
      </c>
      <c r="J398">
        <f>_xlfn.XLOOKUP(C398,dim_BMI!$C$2:$C$7,dim_BMI!$A$2:$A$7,,1)</f>
        <v>3</v>
      </c>
      <c r="K398" t="str">
        <f>_xlfn.XLOOKUP(C398,dim_BMI!$C$2:$C$7,dim_BMI!$B$2:$B$7,,1)</f>
        <v>25.0 to 29.9 (Overweight)</v>
      </c>
    </row>
    <row r="399" spans="1:11" x14ac:dyDescent="0.25">
      <c r="A399" s="1">
        <v>292</v>
      </c>
      <c r="B399">
        <v>29</v>
      </c>
      <c r="C399">
        <v>29.64</v>
      </c>
      <c r="D399">
        <v>1</v>
      </c>
      <c r="E399">
        <f t="shared" si="6"/>
        <v>0</v>
      </c>
      <c r="F399">
        <v>20277.807509999999</v>
      </c>
      <c r="G399" t="s">
        <v>14</v>
      </c>
      <c r="H399" t="s">
        <v>11</v>
      </c>
      <c r="I399" t="s">
        <v>10</v>
      </c>
      <c r="J399">
        <f>_xlfn.XLOOKUP(C399,dim_BMI!$C$2:$C$7,dim_BMI!$A$2:$A$7,,1)</f>
        <v>3</v>
      </c>
      <c r="K399" t="str">
        <f>_xlfn.XLOOKUP(C399,dim_BMI!$C$2:$C$7,dim_BMI!$B$2:$B$7,,1)</f>
        <v>25.0 to 29.9 (Overweight)</v>
      </c>
    </row>
    <row r="400" spans="1:11" x14ac:dyDescent="0.25">
      <c r="A400" s="1">
        <v>306</v>
      </c>
      <c r="B400">
        <v>29</v>
      </c>
      <c r="C400">
        <v>33.344999999999999</v>
      </c>
      <c r="D400">
        <v>2</v>
      </c>
      <c r="E400">
        <f t="shared" si="6"/>
        <v>0</v>
      </c>
      <c r="F400">
        <v>19442.353500000001</v>
      </c>
      <c r="G400" t="s">
        <v>13</v>
      </c>
      <c r="H400" t="s">
        <v>11</v>
      </c>
      <c r="I400" t="s">
        <v>10</v>
      </c>
      <c r="J400">
        <f>_xlfn.XLOOKUP(C400,dim_BMI!$C$2:$C$7,dim_BMI!$A$2:$A$7,,1)</f>
        <v>4</v>
      </c>
      <c r="K400" t="str">
        <f>_xlfn.XLOOKUP(C400,dim_BMI!$C$2:$C$7,dim_BMI!$B$2:$B$7,,1)</f>
        <v>30.0 to 34.9 (Obesity Class 1)</v>
      </c>
    </row>
    <row r="401" spans="1:11" x14ac:dyDescent="0.25">
      <c r="A401" s="1">
        <v>325</v>
      </c>
      <c r="B401">
        <v>29</v>
      </c>
      <c r="C401">
        <v>27.2</v>
      </c>
      <c r="D401">
        <v>0</v>
      </c>
      <c r="E401">
        <f t="shared" si="6"/>
        <v>0</v>
      </c>
      <c r="F401">
        <v>2866.0909999999999</v>
      </c>
      <c r="G401" t="s">
        <v>9</v>
      </c>
      <c r="H401" t="s">
        <v>11</v>
      </c>
      <c r="I401" t="s">
        <v>10</v>
      </c>
      <c r="J401">
        <f>_xlfn.XLOOKUP(C401,dim_BMI!$C$2:$C$7,dim_BMI!$A$2:$A$7,,1)</f>
        <v>3</v>
      </c>
      <c r="K401" t="str">
        <f>_xlfn.XLOOKUP(C401,dim_BMI!$C$2:$C$7,dim_BMI!$B$2:$B$7,,1)</f>
        <v>25.0 to 29.9 (Overweight)</v>
      </c>
    </row>
    <row r="402" spans="1:11" x14ac:dyDescent="0.25">
      <c r="A402" s="1">
        <v>432</v>
      </c>
      <c r="B402">
        <v>29</v>
      </c>
      <c r="C402">
        <v>20.234999999999999</v>
      </c>
      <c r="D402">
        <v>2</v>
      </c>
      <c r="E402">
        <f t="shared" si="6"/>
        <v>0</v>
      </c>
      <c r="F402">
        <v>4906.4096499999996</v>
      </c>
      <c r="G402" t="s">
        <v>13</v>
      </c>
      <c r="H402" t="s">
        <v>11</v>
      </c>
      <c r="I402" t="s">
        <v>7</v>
      </c>
      <c r="J402">
        <f>_xlfn.XLOOKUP(C402,dim_BMI!$C$2:$C$7,dim_BMI!$A$2:$A$7,,1)</f>
        <v>2</v>
      </c>
      <c r="K402" t="str">
        <f>_xlfn.XLOOKUP(C402,dim_BMI!$C$2:$C$7,dim_BMI!$B$2:$B$7,,1)</f>
        <v>18.5 to 24.9 (Healthy Weight)</v>
      </c>
    </row>
    <row r="403" spans="1:11" x14ac:dyDescent="0.25">
      <c r="A403" s="1">
        <v>501</v>
      </c>
      <c r="B403">
        <v>29</v>
      </c>
      <c r="C403">
        <v>34.4</v>
      </c>
      <c r="D403">
        <v>0</v>
      </c>
      <c r="E403">
        <f t="shared" si="6"/>
        <v>1</v>
      </c>
      <c r="F403">
        <v>36197.699000000001</v>
      </c>
      <c r="G403" t="s">
        <v>9</v>
      </c>
      <c r="H403" t="s">
        <v>8</v>
      </c>
      <c r="I403" t="s">
        <v>10</v>
      </c>
      <c r="J403">
        <f>_xlfn.XLOOKUP(C403,dim_BMI!$C$2:$C$7,dim_BMI!$A$2:$A$7,,1)</f>
        <v>4</v>
      </c>
      <c r="K403" t="str">
        <f>_xlfn.XLOOKUP(C403,dim_BMI!$C$2:$C$7,dim_BMI!$B$2:$B$7,,1)</f>
        <v>30.0 to 34.9 (Obesity Class 1)</v>
      </c>
    </row>
    <row r="404" spans="1:11" x14ac:dyDescent="0.25">
      <c r="A404" s="1">
        <v>626</v>
      </c>
      <c r="B404">
        <v>29</v>
      </c>
      <c r="C404">
        <v>26.03</v>
      </c>
      <c r="D404">
        <v>0</v>
      </c>
      <c r="E404">
        <f t="shared" si="6"/>
        <v>0</v>
      </c>
      <c r="F404">
        <v>3736.4647</v>
      </c>
      <c r="G404" t="s">
        <v>13</v>
      </c>
      <c r="H404" t="s">
        <v>11</v>
      </c>
      <c r="I404" t="s">
        <v>7</v>
      </c>
      <c r="J404">
        <f>_xlfn.XLOOKUP(C404,dim_BMI!$C$2:$C$7,dim_BMI!$A$2:$A$7,,1)</f>
        <v>3</v>
      </c>
      <c r="K404" t="str">
        <f>_xlfn.XLOOKUP(C404,dim_BMI!$C$2:$C$7,dim_BMI!$B$2:$B$7,,1)</f>
        <v>25.0 to 29.9 (Overweight)</v>
      </c>
    </row>
    <row r="405" spans="1:11" x14ac:dyDescent="0.25">
      <c r="A405" s="1">
        <v>633</v>
      </c>
      <c r="B405">
        <v>29</v>
      </c>
      <c r="C405">
        <v>35.53</v>
      </c>
      <c r="D405">
        <v>0</v>
      </c>
      <c r="E405">
        <f t="shared" si="6"/>
        <v>0</v>
      </c>
      <c r="F405">
        <v>3366.6696999999999</v>
      </c>
      <c r="G405" t="s">
        <v>12</v>
      </c>
      <c r="H405" t="s">
        <v>11</v>
      </c>
      <c r="I405" t="s">
        <v>7</v>
      </c>
      <c r="J405">
        <f>_xlfn.XLOOKUP(C405,dim_BMI!$C$2:$C$7,dim_BMI!$A$2:$A$7,,1)</f>
        <v>5</v>
      </c>
      <c r="K405" t="str">
        <f>_xlfn.XLOOKUP(C405,dim_BMI!$C$2:$C$7,dim_BMI!$B$2:$B$7,,1)</f>
        <v>35 to 39.9 (Obesity Class 2)</v>
      </c>
    </row>
    <row r="406" spans="1:11" x14ac:dyDescent="0.25">
      <c r="A406" s="1">
        <v>672</v>
      </c>
      <c r="B406">
        <v>29</v>
      </c>
      <c r="C406">
        <v>31.16</v>
      </c>
      <c r="D406">
        <v>0</v>
      </c>
      <c r="E406">
        <f t="shared" si="6"/>
        <v>0</v>
      </c>
      <c r="F406">
        <v>3943.5954000000002</v>
      </c>
      <c r="G406" t="s">
        <v>14</v>
      </c>
      <c r="H406" t="s">
        <v>11</v>
      </c>
      <c r="I406" t="s">
        <v>7</v>
      </c>
      <c r="J406">
        <f>_xlfn.XLOOKUP(C406,dim_BMI!$C$2:$C$7,dim_BMI!$A$2:$A$7,,1)</f>
        <v>4</v>
      </c>
      <c r="K406" t="str">
        <f>_xlfn.XLOOKUP(C406,dim_BMI!$C$2:$C$7,dim_BMI!$B$2:$B$7,,1)</f>
        <v>30.0 to 34.9 (Obesity Class 1)</v>
      </c>
    </row>
    <row r="407" spans="1:11" x14ac:dyDescent="0.25">
      <c r="A407" s="1">
        <v>728</v>
      </c>
      <c r="B407">
        <v>29</v>
      </c>
      <c r="C407">
        <v>21.754999999999999</v>
      </c>
      <c r="D407">
        <v>1</v>
      </c>
      <c r="E407">
        <f t="shared" si="6"/>
        <v>1</v>
      </c>
      <c r="F407">
        <v>16657.71745</v>
      </c>
      <c r="G407" t="s">
        <v>14</v>
      </c>
      <c r="H407" t="s">
        <v>8</v>
      </c>
      <c r="I407" t="s">
        <v>7</v>
      </c>
      <c r="J407">
        <f>_xlfn.XLOOKUP(C407,dim_BMI!$C$2:$C$7,dim_BMI!$A$2:$A$7,,1)</f>
        <v>2</v>
      </c>
      <c r="K407" t="str">
        <f>_xlfn.XLOOKUP(C407,dim_BMI!$C$2:$C$7,dim_BMI!$B$2:$B$7,,1)</f>
        <v>18.5 to 24.9 (Healthy Weight)</v>
      </c>
    </row>
    <row r="408" spans="1:11" x14ac:dyDescent="0.25">
      <c r="A408" s="1">
        <v>740</v>
      </c>
      <c r="B408">
        <v>29</v>
      </c>
      <c r="C408">
        <v>35.5</v>
      </c>
      <c r="D408">
        <v>2</v>
      </c>
      <c r="E408">
        <f t="shared" si="6"/>
        <v>1</v>
      </c>
      <c r="F408">
        <v>44585.455869999998</v>
      </c>
      <c r="G408" t="s">
        <v>9</v>
      </c>
      <c r="H408" t="s">
        <v>8</v>
      </c>
      <c r="I408" t="s">
        <v>10</v>
      </c>
      <c r="J408">
        <f>_xlfn.XLOOKUP(C408,dim_BMI!$C$2:$C$7,dim_BMI!$A$2:$A$7,,1)</f>
        <v>5</v>
      </c>
      <c r="K408" t="str">
        <f>_xlfn.XLOOKUP(C408,dim_BMI!$C$2:$C$7,dim_BMI!$B$2:$B$7,,1)</f>
        <v>35 to 39.9 (Obesity Class 2)</v>
      </c>
    </row>
    <row r="409" spans="1:11" x14ac:dyDescent="0.25">
      <c r="A409" s="1">
        <v>789</v>
      </c>
      <c r="B409">
        <v>29</v>
      </c>
      <c r="C409">
        <v>22.515000000000001</v>
      </c>
      <c r="D409">
        <v>3</v>
      </c>
      <c r="E409">
        <f t="shared" si="6"/>
        <v>0</v>
      </c>
      <c r="F409">
        <v>5209.5788499999999</v>
      </c>
      <c r="G409" t="s">
        <v>14</v>
      </c>
      <c r="H409" t="s">
        <v>11</v>
      </c>
      <c r="I409" t="s">
        <v>10</v>
      </c>
      <c r="J409">
        <f>_xlfn.XLOOKUP(C409,dim_BMI!$C$2:$C$7,dim_BMI!$A$2:$A$7,,1)</f>
        <v>2</v>
      </c>
      <c r="K409" t="str">
        <f>_xlfn.XLOOKUP(C409,dim_BMI!$C$2:$C$7,dim_BMI!$B$2:$B$7,,1)</f>
        <v>18.5 to 24.9 (Healthy Weight)</v>
      </c>
    </row>
    <row r="410" spans="1:11" x14ac:dyDescent="0.25">
      <c r="A410" s="1">
        <v>962</v>
      </c>
      <c r="B410">
        <v>29</v>
      </c>
      <c r="C410">
        <v>25.9</v>
      </c>
      <c r="D410">
        <v>0</v>
      </c>
      <c r="E410">
        <f t="shared" si="6"/>
        <v>0</v>
      </c>
      <c r="F410">
        <v>3353.2840000000001</v>
      </c>
      <c r="G410" t="s">
        <v>9</v>
      </c>
      <c r="H410" t="s">
        <v>11</v>
      </c>
      <c r="I410" t="s">
        <v>7</v>
      </c>
      <c r="J410">
        <f>_xlfn.XLOOKUP(C410,dim_BMI!$C$2:$C$7,dim_BMI!$A$2:$A$7,,1)</f>
        <v>3</v>
      </c>
      <c r="K410" t="str">
        <f>_xlfn.XLOOKUP(C410,dim_BMI!$C$2:$C$7,dim_BMI!$B$2:$B$7,,1)</f>
        <v>25.0 to 29.9 (Overweight)</v>
      </c>
    </row>
    <row r="411" spans="1:11" x14ac:dyDescent="0.25">
      <c r="A411" s="1">
        <v>976</v>
      </c>
      <c r="B411">
        <v>29</v>
      </c>
      <c r="C411">
        <v>22.895</v>
      </c>
      <c r="D411">
        <v>0</v>
      </c>
      <c r="E411">
        <f t="shared" si="6"/>
        <v>1</v>
      </c>
      <c r="F411">
        <v>16138.762049999999</v>
      </c>
      <c r="G411" t="s">
        <v>14</v>
      </c>
      <c r="H411" t="s">
        <v>8</v>
      </c>
      <c r="I411" t="s">
        <v>10</v>
      </c>
      <c r="J411">
        <f>_xlfn.XLOOKUP(C411,dim_BMI!$C$2:$C$7,dim_BMI!$A$2:$A$7,,1)</f>
        <v>2</v>
      </c>
      <c r="K411" t="str">
        <f>_xlfn.XLOOKUP(C411,dim_BMI!$C$2:$C$7,dim_BMI!$B$2:$B$7,,1)</f>
        <v>18.5 to 24.9 (Healthy Weight)</v>
      </c>
    </row>
    <row r="412" spans="1:11" x14ac:dyDescent="0.25">
      <c r="A412" s="1">
        <v>1006</v>
      </c>
      <c r="B412">
        <v>29</v>
      </c>
      <c r="C412">
        <v>31.73</v>
      </c>
      <c r="D412">
        <v>2</v>
      </c>
      <c r="E412">
        <f t="shared" si="6"/>
        <v>0</v>
      </c>
      <c r="F412">
        <v>4433.3877000000002</v>
      </c>
      <c r="G412" t="s">
        <v>13</v>
      </c>
      <c r="H412" t="s">
        <v>11</v>
      </c>
      <c r="I412" t="s">
        <v>10</v>
      </c>
      <c r="J412">
        <f>_xlfn.XLOOKUP(C412,dim_BMI!$C$2:$C$7,dim_BMI!$A$2:$A$7,,1)</f>
        <v>4</v>
      </c>
      <c r="K412" t="str">
        <f>_xlfn.XLOOKUP(C412,dim_BMI!$C$2:$C$7,dim_BMI!$B$2:$B$7,,1)</f>
        <v>30.0 to 34.9 (Obesity Class 1)</v>
      </c>
    </row>
    <row r="413" spans="1:11" x14ac:dyDescent="0.25">
      <c r="A413" s="1">
        <v>1065</v>
      </c>
      <c r="B413">
        <v>29</v>
      </c>
      <c r="C413">
        <v>25.6</v>
      </c>
      <c r="D413">
        <v>4</v>
      </c>
      <c r="E413">
        <f t="shared" si="6"/>
        <v>0</v>
      </c>
      <c r="F413">
        <v>5708.8670000000002</v>
      </c>
      <c r="G413" t="s">
        <v>9</v>
      </c>
      <c r="H413" t="s">
        <v>11</v>
      </c>
      <c r="I413" t="s">
        <v>7</v>
      </c>
      <c r="J413">
        <f>_xlfn.XLOOKUP(C413,dim_BMI!$C$2:$C$7,dim_BMI!$A$2:$A$7,,1)</f>
        <v>3</v>
      </c>
      <c r="K413" t="str">
        <f>_xlfn.XLOOKUP(C413,dim_BMI!$C$2:$C$7,dim_BMI!$B$2:$B$7,,1)</f>
        <v>25.0 to 29.9 (Overweight)</v>
      </c>
    </row>
    <row r="414" spans="1:11" x14ac:dyDescent="0.25">
      <c r="A414" s="1">
        <v>1103</v>
      </c>
      <c r="B414">
        <v>29</v>
      </c>
      <c r="C414">
        <v>38.94</v>
      </c>
      <c r="D414">
        <v>1</v>
      </c>
      <c r="E414">
        <f t="shared" si="6"/>
        <v>0</v>
      </c>
      <c r="F414">
        <v>3471.4096</v>
      </c>
      <c r="G414" t="s">
        <v>12</v>
      </c>
      <c r="H414" t="s">
        <v>11</v>
      </c>
      <c r="I414" t="s">
        <v>10</v>
      </c>
      <c r="J414">
        <f>_xlfn.XLOOKUP(C414,dim_BMI!$C$2:$C$7,dim_BMI!$A$2:$A$7,,1)</f>
        <v>5</v>
      </c>
      <c r="K414" t="str">
        <f>_xlfn.XLOOKUP(C414,dim_BMI!$C$2:$C$7,dim_BMI!$B$2:$B$7,,1)</f>
        <v>35 to 39.9 (Obesity Class 2)</v>
      </c>
    </row>
    <row r="415" spans="1:11" x14ac:dyDescent="0.25">
      <c r="A415" s="1">
        <v>1168</v>
      </c>
      <c r="B415">
        <v>29</v>
      </c>
      <c r="C415">
        <v>24.6</v>
      </c>
      <c r="D415">
        <v>2</v>
      </c>
      <c r="E415">
        <f t="shared" si="6"/>
        <v>0</v>
      </c>
      <c r="F415">
        <v>4529.4769999999999</v>
      </c>
      <c r="G415" t="s">
        <v>9</v>
      </c>
      <c r="H415" t="s">
        <v>11</v>
      </c>
      <c r="I415" t="s">
        <v>7</v>
      </c>
      <c r="J415">
        <f>_xlfn.XLOOKUP(C415,dim_BMI!$C$2:$C$7,dim_BMI!$A$2:$A$7,,1)</f>
        <v>2</v>
      </c>
      <c r="K415" t="str">
        <f>_xlfn.XLOOKUP(C415,dim_BMI!$C$2:$C$7,dim_BMI!$B$2:$B$7,,1)</f>
        <v>18.5 to 24.9 (Healthy Weight)</v>
      </c>
    </row>
    <row r="416" spans="1:11" x14ac:dyDescent="0.25">
      <c r="A416" s="1">
        <v>1175</v>
      </c>
      <c r="B416">
        <v>29</v>
      </c>
      <c r="C416">
        <v>32.11</v>
      </c>
      <c r="D416">
        <v>2</v>
      </c>
      <c r="E416">
        <f t="shared" si="6"/>
        <v>0</v>
      </c>
      <c r="F416">
        <v>4433.9159</v>
      </c>
      <c r="G416" t="s">
        <v>13</v>
      </c>
      <c r="H416" t="s">
        <v>11</v>
      </c>
      <c r="I416" t="s">
        <v>10</v>
      </c>
      <c r="J416">
        <f>_xlfn.XLOOKUP(C416,dim_BMI!$C$2:$C$7,dim_BMI!$A$2:$A$7,,1)</f>
        <v>4</v>
      </c>
      <c r="K416" t="str">
        <f>_xlfn.XLOOKUP(C416,dim_BMI!$C$2:$C$7,dim_BMI!$B$2:$B$7,,1)</f>
        <v>30.0 to 34.9 (Obesity Class 1)</v>
      </c>
    </row>
    <row r="417" spans="1:11" x14ac:dyDescent="0.25">
      <c r="A417" s="1">
        <v>1218</v>
      </c>
      <c r="B417">
        <v>29</v>
      </c>
      <c r="C417">
        <v>37.29</v>
      </c>
      <c r="D417">
        <v>2</v>
      </c>
      <c r="E417">
        <f t="shared" si="6"/>
        <v>0</v>
      </c>
      <c r="F417">
        <v>4058.1161000000002</v>
      </c>
      <c r="G417" t="s">
        <v>12</v>
      </c>
      <c r="H417" t="s">
        <v>11</v>
      </c>
      <c r="I417" t="s">
        <v>10</v>
      </c>
      <c r="J417">
        <f>_xlfn.XLOOKUP(C417,dim_BMI!$C$2:$C$7,dim_BMI!$A$2:$A$7,,1)</f>
        <v>5</v>
      </c>
      <c r="K417" t="str">
        <f>_xlfn.XLOOKUP(C417,dim_BMI!$C$2:$C$7,dim_BMI!$B$2:$B$7,,1)</f>
        <v>35 to 39.9 (Obesity Class 2)</v>
      </c>
    </row>
    <row r="418" spans="1:11" x14ac:dyDescent="0.25">
      <c r="A418" s="1">
        <v>1307</v>
      </c>
      <c r="B418">
        <v>29</v>
      </c>
      <c r="C418">
        <v>21.85</v>
      </c>
      <c r="D418">
        <v>0</v>
      </c>
      <c r="E418">
        <f t="shared" si="6"/>
        <v>1</v>
      </c>
      <c r="F418">
        <v>16115.3045</v>
      </c>
      <c r="G418" t="s">
        <v>14</v>
      </c>
      <c r="H418" t="s">
        <v>8</v>
      </c>
      <c r="I418" t="s">
        <v>7</v>
      </c>
      <c r="J418">
        <f>_xlfn.XLOOKUP(C418,dim_BMI!$C$2:$C$7,dim_BMI!$A$2:$A$7,,1)</f>
        <v>2</v>
      </c>
      <c r="K418" t="str">
        <f>_xlfn.XLOOKUP(C418,dim_BMI!$C$2:$C$7,dim_BMI!$B$2:$B$7,,1)</f>
        <v>18.5 to 24.9 (Healthy Weight)</v>
      </c>
    </row>
    <row r="419" spans="1:11" x14ac:dyDescent="0.25">
      <c r="A419" s="1">
        <v>20</v>
      </c>
      <c r="B419">
        <v>30</v>
      </c>
      <c r="C419">
        <v>35.299999999999997</v>
      </c>
      <c r="D419">
        <v>0</v>
      </c>
      <c r="E419">
        <f t="shared" si="6"/>
        <v>1</v>
      </c>
      <c r="F419">
        <v>36837.466999999997</v>
      </c>
      <c r="G419" t="s">
        <v>9</v>
      </c>
      <c r="H419" t="s">
        <v>8</v>
      </c>
      <c r="I419" t="s">
        <v>10</v>
      </c>
      <c r="J419">
        <f>_xlfn.XLOOKUP(C419,dim_BMI!$C$2:$C$7,dim_BMI!$A$2:$A$7,,1)</f>
        <v>5</v>
      </c>
      <c r="K419" t="str">
        <f>_xlfn.XLOOKUP(C419,dim_BMI!$C$2:$C$7,dim_BMI!$B$2:$B$7,,1)</f>
        <v>35 to 39.9 (Obesity Class 2)</v>
      </c>
    </row>
    <row r="420" spans="1:11" x14ac:dyDescent="0.25">
      <c r="A420" s="1">
        <v>22</v>
      </c>
      <c r="B420">
        <v>30</v>
      </c>
      <c r="C420">
        <v>32.4</v>
      </c>
      <c r="D420">
        <v>1</v>
      </c>
      <c r="E420">
        <f t="shared" si="6"/>
        <v>0</v>
      </c>
      <c r="F420">
        <v>4149.7359999999999</v>
      </c>
      <c r="G420" t="s">
        <v>9</v>
      </c>
      <c r="H420" t="s">
        <v>11</v>
      </c>
      <c r="I420" t="s">
        <v>7</v>
      </c>
      <c r="J420">
        <f>_xlfn.XLOOKUP(C420,dim_BMI!$C$2:$C$7,dim_BMI!$A$2:$A$7,,1)</f>
        <v>4</v>
      </c>
      <c r="K420" t="str">
        <f>_xlfn.XLOOKUP(C420,dim_BMI!$C$2:$C$7,dim_BMI!$B$2:$B$7,,1)</f>
        <v>30.0 to 34.9 (Obesity Class 1)</v>
      </c>
    </row>
    <row r="421" spans="1:11" x14ac:dyDescent="0.25">
      <c r="A421" s="1">
        <v>102</v>
      </c>
      <c r="B421">
        <v>30</v>
      </c>
      <c r="C421">
        <v>25.46</v>
      </c>
      <c r="D421">
        <v>0</v>
      </c>
      <c r="E421">
        <f t="shared" si="6"/>
        <v>0</v>
      </c>
      <c r="F421">
        <v>3645.0893999999998</v>
      </c>
      <c r="G421" t="s">
        <v>14</v>
      </c>
      <c r="H421" t="s">
        <v>11</v>
      </c>
      <c r="I421" t="s">
        <v>10</v>
      </c>
      <c r="J421">
        <f>_xlfn.XLOOKUP(C421,dim_BMI!$C$2:$C$7,dim_BMI!$A$2:$A$7,,1)</f>
        <v>3</v>
      </c>
      <c r="K421" t="str">
        <f>_xlfn.XLOOKUP(C421,dim_BMI!$C$2:$C$7,dim_BMI!$B$2:$B$7,,1)</f>
        <v>25.0 to 29.9 (Overweight)</v>
      </c>
    </row>
    <row r="422" spans="1:11" x14ac:dyDescent="0.25">
      <c r="A422" s="1">
        <v>145</v>
      </c>
      <c r="B422">
        <v>30</v>
      </c>
      <c r="C422">
        <v>28.69</v>
      </c>
      <c r="D422">
        <v>3</v>
      </c>
      <c r="E422">
        <f t="shared" si="6"/>
        <v>1</v>
      </c>
      <c r="F422">
        <v>20745.989099999999</v>
      </c>
      <c r="G422" t="s">
        <v>13</v>
      </c>
      <c r="H422" t="s">
        <v>8</v>
      </c>
      <c r="I422" t="s">
        <v>10</v>
      </c>
      <c r="J422">
        <f>_xlfn.XLOOKUP(C422,dim_BMI!$C$2:$C$7,dim_BMI!$A$2:$A$7,,1)</f>
        <v>3</v>
      </c>
      <c r="K422" t="str">
        <f>_xlfn.XLOOKUP(C422,dim_BMI!$C$2:$C$7,dim_BMI!$B$2:$B$7,,1)</f>
        <v>25.0 to 29.9 (Overweight)</v>
      </c>
    </row>
    <row r="423" spans="1:11" x14ac:dyDescent="0.25">
      <c r="A423" s="1">
        <v>159</v>
      </c>
      <c r="B423">
        <v>30</v>
      </c>
      <c r="C423">
        <v>35.53</v>
      </c>
      <c r="D423">
        <v>0</v>
      </c>
      <c r="E423">
        <f t="shared" si="6"/>
        <v>1</v>
      </c>
      <c r="F423">
        <v>36950.256699999998</v>
      </c>
      <c r="G423" t="s">
        <v>12</v>
      </c>
      <c r="H423" t="s">
        <v>8</v>
      </c>
      <c r="I423" t="s">
        <v>10</v>
      </c>
      <c r="J423">
        <f>_xlfn.XLOOKUP(C423,dim_BMI!$C$2:$C$7,dim_BMI!$A$2:$A$7,,1)</f>
        <v>5</v>
      </c>
      <c r="K423" t="str">
        <f>_xlfn.XLOOKUP(C423,dim_BMI!$C$2:$C$7,dim_BMI!$B$2:$B$7,,1)</f>
        <v>35 to 39.9 (Obesity Class 2)</v>
      </c>
    </row>
    <row r="424" spans="1:11" x14ac:dyDescent="0.25">
      <c r="A424" s="1">
        <v>188</v>
      </c>
      <c r="B424">
        <v>30</v>
      </c>
      <c r="C424">
        <v>30.9</v>
      </c>
      <c r="D424">
        <v>3</v>
      </c>
      <c r="E424">
        <f t="shared" si="6"/>
        <v>0</v>
      </c>
      <c r="F424">
        <v>5325.6509999999998</v>
      </c>
      <c r="G424" t="s">
        <v>9</v>
      </c>
      <c r="H424" t="s">
        <v>11</v>
      </c>
      <c r="I424" t="s">
        <v>7</v>
      </c>
      <c r="J424">
        <f>_xlfn.XLOOKUP(C424,dim_BMI!$C$2:$C$7,dim_BMI!$A$2:$A$7,,1)</f>
        <v>4</v>
      </c>
      <c r="K424" t="str">
        <f>_xlfn.XLOOKUP(C424,dim_BMI!$C$2:$C$7,dim_BMI!$B$2:$B$7,,1)</f>
        <v>30.0 to 34.9 (Obesity Class 1)</v>
      </c>
    </row>
    <row r="425" spans="1:11" x14ac:dyDescent="0.25">
      <c r="A425" s="1">
        <v>283</v>
      </c>
      <c r="B425">
        <v>30</v>
      </c>
      <c r="C425">
        <v>27.645</v>
      </c>
      <c r="D425">
        <v>1</v>
      </c>
      <c r="E425">
        <f t="shared" si="6"/>
        <v>0</v>
      </c>
      <c r="F425">
        <v>4237.12655</v>
      </c>
      <c r="G425" t="s">
        <v>14</v>
      </c>
      <c r="H425" t="s">
        <v>11</v>
      </c>
      <c r="I425" t="s">
        <v>10</v>
      </c>
      <c r="J425">
        <f>_xlfn.XLOOKUP(C425,dim_BMI!$C$2:$C$7,dim_BMI!$A$2:$A$7,,1)</f>
        <v>3</v>
      </c>
      <c r="K425" t="str">
        <f>_xlfn.XLOOKUP(C425,dim_BMI!$C$2:$C$7,dim_BMI!$B$2:$B$7,,1)</f>
        <v>25.0 to 29.9 (Overweight)</v>
      </c>
    </row>
    <row r="426" spans="1:11" x14ac:dyDescent="0.25">
      <c r="A426" s="1">
        <v>308</v>
      </c>
      <c r="B426">
        <v>30</v>
      </c>
      <c r="C426">
        <v>33.33</v>
      </c>
      <c r="D426">
        <v>1</v>
      </c>
      <c r="E426">
        <f t="shared" si="6"/>
        <v>0</v>
      </c>
      <c r="F426">
        <v>4151.0286999999998</v>
      </c>
      <c r="G426" t="s">
        <v>12</v>
      </c>
      <c r="H426" t="s">
        <v>11</v>
      </c>
      <c r="I426" t="s">
        <v>7</v>
      </c>
      <c r="J426">
        <f>_xlfn.XLOOKUP(C426,dim_BMI!$C$2:$C$7,dim_BMI!$A$2:$A$7,,1)</f>
        <v>4</v>
      </c>
      <c r="K426" t="str">
        <f>_xlfn.XLOOKUP(C426,dim_BMI!$C$2:$C$7,dim_BMI!$B$2:$B$7,,1)</f>
        <v>30.0 to 34.9 (Obesity Class 1)</v>
      </c>
    </row>
    <row r="427" spans="1:11" x14ac:dyDescent="0.25">
      <c r="A427" s="1">
        <v>353</v>
      </c>
      <c r="B427">
        <v>30</v>
      </c>
      <c r="C427">
        <v>27.7</v>
      </c>
      <c r="D427">
        <v>0</v>
      </c>
      <c r="E427">
        <f t="shared" si="6"/>
        <v>0</v>
      </c>
      <c r="F427">
        <v>3554.203</v>
      </c>
      <c r="G427" t="s">
        <v>9</v>
      </c>
      <c r="H427" t="s">
        <v>11</v>
      </c>
      <c r="I427" t="s">
        <v>7</v>
      </c>
      <c r="J427">
        <f>_xlfn.XLOOKUP(C427,dim_BMI!$C$2:$C$7,dim_BMI!$A$2:$A$7,,1)</f>
        <v>3</v>
      </c>
      <c r="K427" t="str">
        <f>_xlfn.XLOOKUP(C427,dim_BMI!$C$2:$C$7,dim_BMI!$B$2:$B$7,,1)</f>
        <v>25.0 to 29.9 (Overweight)</v>
      </c>
    </row>
    <row r="428" spans="1:11" x14ac:dyDescent="0.25">
      <c r="A428" s="1">
        <v>452</v>
      </c>
      <c r="B428">
        <v>30</v>
      </c>
      <c r="C428">
        <v>24.13</v>
      </c>
      <c r="D428">
        <v>1</v>
      </c>
      <c r="E428">
        <f t="shared" si="6"/>
        <v>0</v>
      </c>
      <c r="F428">
        <v>4032.2406999999998</v>
      </c>
      <c r="G428" t="s">
        <v>13</v>
      </c>
      <c r="H428" t="s">
        <v>11</v>
      </c>
      <c r="I428" t="s">
        <v>10</v>
      </c>
      <c r="J428">
        <f>_xlfn.XLOOKUP(C428,dim_BMI!$C$2:$C$7,dim_BMI!$A$2:$A$7,,1)</f>
        <v>2</v>
      </c>
      <c r="K428" t="str">
        <f>_xlfn.XLOOKUP(C428,dim_BMI!$C$2:$C$7,dim_BMI!$B$2:$B$7,,1)</f>
        <v>18.5 to 24.9 (Healthy Weight)</v>
      </c>
    </row>
    <row r="429" spans="1:11" x14ac:dyDescent="0.25">
      <c r="A429" s="1">
        <v>466</v>
      </c>
      <c r="B429">
        <v>30</v>
      </c>
      <c r="C429">
        <v>28.38</v>
      </c>
      <c r="D429">
        <v>1</v>
      </c>
      <c r="E429">
        <f t="shared" si="6"/>
        <v>1</v>
      </c>
      <c r="F429">
        <v>19521.968199999999</v>
      </c>
      <c r="G429" t="s">
        <v>12</v>
      </c>
      <c r="H429" t="s">
        <v>8</v>
      </c>
      <c r="I429" t="s">
        <v>7</v>
      </c>
      <c r="J429">
        <f>_xlfn.XLOOKUP(C429,dim_BMI!$C$2:$C$7,dim_BMI!$A$2:$A$7,,1)</f>
        <v>3</v>
      </c>
      <c r="K429" t="str">
        <f>_xlfn.XLOOKUP(C429,dim_BMI!$C$2:$C$7,dim_BMI!$B$2:$B$7,,1)</f>
        <v>25.0 to 29.9 (Overweight)</v>
      </c>
    </row>
    <row r="430" spans="1:11" x14ac:dyDescent="0.25">
      <c r="A430" s="1">
        <v>573</v>
      </c>
      <c r="B430">
        <v>30</v>
      </c>
      <c r="C430">
        <v>43.12</v>
      </c>
      <c r="D430">
        <v>2</v>
      </c>
      <c r="E430">
        <f t="shared" si="6"/>
        <v>0</v>
      </c>
      <c r="F430">
        <v>4753.6368000000002</v>
      </c>
      <c r="G430" t="s">
        <v>12</v>
      </c>
      <c r="H430" t="s">
        <v>11</v>
      </c>
      <c r="I430" t="s">
        <v>7</v>
      </c>
      <c r="J430">
        <f>_xlfn.XLOOKUP(C430,dim_BMI!$C$2:$C$7,dim_BMI!$A$2:$A$7,,1)</f>
        <v>6</v>
      </c>
      <c r="K430" t="str">
        <f>_xlfn.XLOOKUP(C430,dim_BMI!$C$2:$C$7,dim_BMI!$B$2:$B$7,,1)</f>
        <v>40 or higher (Severe Obesity Class 3)</v>
      </c>
    </row>
    <row r="431" spans="1:11" x14ac:dyDescent="0.25">
      <c r="A431" s="1">
        <v>610</v>
      </c>
      <c r="B431">
        <v>30</v>
      </c>
      <c r="C431">
        <v>37.799999999999997</v>
      </c>
      <c r="D431">
        <v>2</v>
      </c>
      <c r="E431">
        <f t="shared" si="6"/>
        <v>1</v>
      </c>
      <c r="F431">
        <v>39241.442000000003</v>
      </c>
      <c r="G431" t="s">
        <v>9</v>
      </c>
      <c r="H431" t="s">
        <v>8</v>
      </c>
      <c r="I431" t="s">
        <v>10</v>
      </c>
      <c r="J431">
        <f>_xlfn.XLOOKUP(C431,dim_BMI!$C$2:$C$7,dim_BMI!$A$2:$A$7,,1)</f>
        <v>5</v>
      </c>
      <c r="K431" t="str">
        <f>_xlfn.XLOOKUP(C431,dim_BMI!$C$2:$C$7,dim_BMI!$B$2:$B$7,,1)</f>
        <v>35 to 39.9 (Obesity Class 2)</v>
      </c>
    </row>
    <row r="432" spans="1:11" x14ac:dyDescent="0.25">
      <c r="A432" s="1">
        <v>621</v>
      </c>
      <c r="B432">
        <v>30</v>
      </c>
      <c r="C432">
        <v>31.4</v>
      </c>
      <c r="D432">
        <v>1</v>
      </c>
      <c r="E432">
        <f t="shared" si="6"/>
        <v>0</v>
      </c>
      <c r="F432">
        <v>3659.346</v>
      </c>
      <c r="G432" t="s">
        <v>9</v>
      </c>
      <c r="H432" t="s">
        <v>11</v>
      </c>
      <c r="I432" t="s">
        <v>10</v>
      </c>
      <c r="J432">
        <f>_xlfn.XLOOKUP(C432,dim_BMI!$C$2:$C$7,dim_BMI!$A$2:$A$7,,1)</f>
        <v>4</v>
      </c>
      <c r="K432" t="str">
        <f>_xlfn.XLOOKUP(C432,dim_BMI!$C$2:$C$7,dim_BMI!$B$2:$B$7,,1)</f>
        <v>30.0 to 34.9 (Obesity Class 1)</v>
      </c>
    </row>
    <row r="433" spans="1:11" x14ac:dyDescent="0.25">
      <c r="A433" s="1">
        <v>671</v>
      </c>
      <c r="B433">
        <v>30</v>
      </c>
      <c r="C433">
        <v>31.57</v>
      </c>
      <c r="D433">
        <v>3</v>
      </c>
      <c r="E433">
        <f t="shared" si="6"/>
        <v>0</v>
      </c>
      <c r="F433">
        <v>4837.5823</v>
      </c>
      <c r="G433" t="s">
        <v>12</v>
      </c>
      <c r="H433" t="s">
        <v>11</v>
      </c>
      <c r="I433" t="s">
        <v>10</v>
      </c>
      <c r="J433">
        <f>_xlfn.XLOOKUP(C433,dim_BMI!$C$2:$C$7,dim_BMI!$A$2:$A$7,,1)</f>
        <v>4</v>
      </c>
      <c r="K433" t="str">
        <f>_xlfn.XLOOKUP(C433,dim_BMI!$C$2:$C$7,dim_BMI!$B$2:$B$7,,1)</f>
        <v>30.0 to 34.9 (Obesity Class 1)</v>
      </c>
    </row>
    <row r="434" spans="1:11" x14ac:dyDescent="0.25">
      <c r="A434" s="1">
        <v>726</v>
      </c>
      <c r="B434">
        <v>30</v>
      </c>
      <c r="C434">
        <v>39.049999999999997</v>
      </c>
      <c r="D434">
        <v>3</v>
      </c>
      <c r="E434">
        <f t="shared" si="6"/>
        <v>1</v>
      </c>
      <c r="F434">
        <v>40932.429499999998</v>
      </c>
      <c r="G434" t="s">
        <v>12</v>
      </c>
      <c r="H434" t="s">
        <v>8</v>
      </c>
      <c r="I434" t="s">
        <v>7</v>
      </c>
      <c r="J434">
        <f>_xlfn.XLOOKUP(C434,dim_BMI!$C$2:$C$7,dim_BMI!$A$2:$A$7,,1)</f>
        <v>5</v>
      </c>
      <c r="K434" t="str">
        <f>_xlfn.XLOOKUP(C434,dim_BMI!$C$2:$C$7,dim_BMI!$B$2:$B$7,,1)</f>
        <v>35 to 39.9 (Obesity Class 2)</v>
      </c>
    </row>
    <row r="435" spans="1:11" x14ac:dyDescent="0.25">
      <c r="A435" s="1">
        <v>759</v>
      </c>
      <c r="B435">
        <v>30</v>
      </c>
      <c r="C435">
        <v>37.43</v>
      </c>
      <c r="D435">
        <v>3</v>
      </c>
      <c r="E435">
        <f t="shared" si="6"/>
        <v>0</v>
      </c>
      <c r="F435">
        <v>5428.7277000000004</v>
      </c>
      <c r="G435" t="s">
        <v>14</v>
      </c>
      <c r="H435" t="s">
        <v>11</v>
      </c>
      <c r="I435" t="s">
        <v>10</v>
      </c>
      <c r="J435">
        <f>_xlfn.XLOOKUP(C435,dim_BMI!$C$2:$C$7,dim_BMI!$A$2:$A$7,,1)</f>
        <v>5</v>
      </c>
      <c r="K435" t="str">
        <f>_xlfn.XLOOKUP(C435,dim_BMI!$C$2:$C$7,dim_BMI!$B$2:$B$7,,1)</f>
        <v>35 to 39.9 (Obesity Class 2)</v>
      </c>
    </row>
    <row r="436" spans="1:11" x14ac:dyDescent="0.25">
      <c r="A436" s="1">
        <v>781</v>
      </c>
      <c r="B436">
        <v>30</v>
      </c>
      <c r="C436">
        <v>24.4</v>
      </c>
      <c r="D436">
        <v>3</v>
      </c>
      <c r="E436">
        <f t="shared" si="6"/>
        <v>1</v>
      </c>
      <c r="F436">
        <v>18259.216</v>
      </c>
      <c r="G436" t="s">
        <v>9</v>
      </c>
      <c r="H436" t="s">
        <v>8</v>
      </c>
      <c r="I436" t="s">
        <v>10</v>
      </c>
      <c r="J436">
        <f>_xlfn.XLOOKUP(C436,dim_BMI!$C$2:$C$7,dim_BMI!$A$2:$A$7,,1)</f>
        <v>2</v>
      </c>
      <c r="K436" t="str">
        <f>_xlfn.XLOOKUP(C436,dim_BMI!$C$2:$C$7,dim_BMI!$B$2:$B$7,,1)</f>
        <v>18.5 to 24.9 (Healthy Weight)</v>
      </c>
    </row>
    <row r="437" spans="1:11" x14ac:dyDescent="0.25">
      <c r="A437" s="1">
        <v>797</v>
      </c>
      <c r="B437">
        <v>30</v>
      </c>
      <c r="C437">
        <v>44.22</v>
      </c>
      <c r="D437">
        <v>2</v>
      </c>
      <c r="E437">
        <f t="shared" si="6"/>
        <v>0</v>
      </c>
      <c r="F437">
        <v>4266.1657999999998</v>
      </c>
      <c r="G437" t="s">
        <v>12</v>
      </c>
      <c r="H437" t="s">
        <v>11</v>
      </c>
      <c r="I437" t="s">
        <v>10</v>
      </c>
      <c r="J437">
        <f>_xlfn.XLOOKUP(C437,dim_BMI!$C$2:$C$7,dim_BMI!$A$2:$A$7,,1)</f>
        <v>6</v>
      </c>
      <c r="K437" t="str">
        <f>_xlfn.XLOOKUP(C437,dim_BMI!$C$2:$C$7,dim_BMI!$B$2:$B$7,,1)</f>
        <v>40 or higher (Severe Obesity Class 3)</v>
      </c>
    </row>
    <row r="438" spans="1:11" x14ac:dyDescent="0.25">
      <c r="A438" s="1">
        <v>798</v>
      </c>
      <c r="B438">
        <v>30</v>
      </c>
      <c r="C438">
        <v>22.895</v>
      </c>
      <c r="D438">
        <v>1</v>
      </c>
      <c r="E438">
        <f t="shared" si="6"/>
        <v>0</v>
      </c>
      <c r="F438">
        <v>4719.52405</v>
      </c>
      <c r="G438" t="s">
        <v>14</v>
      </c>
      <c r="H438" t="s">
        <v>11</v>
      </c>
      <c r="I438" t="s">
        <v>7</v>
      </c>
      <c r="J438">
        <f>_xlfn.XLOOKUP(C438,dim_BMI!$C$2:$C$7,dim_BMI!$A$2:$A$7,,1)</f>
        <v>2</v>
      </c>
      <c r="K438" t="str">
        <f>_xlfn.XLOOKUP(C438,dim_BMI!$C$2:$C$7,dim_BMI!$B$2:$B$7,,1)</f>
        <v>18.5 to 24.9 (Healthy Weight)</v>
      </c>
    </row>
    <row r="439" spans="1:11" x14ac:dyDescent="0.25">
      <c r="A439" s="1">
        <v>953</v>
      </c>
      <c r="B439">
        <v>30</v>
      </c>
      <c r="C439">
        <v>28.405000000000001</v>
      </c>
      <c r="D439">
        <v>1</v>
      </c>
      <c r="E439">
        <f t="shared" si="6"/>
        <v>0</v>
      </c>
      <c r="F439">
        <v>4527.1829500000003</v>
      </c>
      <c r="G439" t="s">
        <v>13</v>
      </c>
      <c r="H439" t="s">
        <v>11</v>
      </c>
      <c r="I439" t="s">
        <v>7</v>
      </c>
      <c r="J439">
        <f>_xlfn.XLOOKUP(C439,dim_BMI!$C$2:$C$7,dim_BMI!$A$2:$A$7,,1)</f>
        <v>3</v>
      </c>
      <c r="K439" t="str">
        <f>_xlfn.XLOOKUP(C439,dim_BMI!$C$2:$C$7,dim_BMI!$B$2:$B$7,,1)</f>
        <v>25.0 to 29.9 (Overweight)</v>
      </c>
    </row>
    <row r="440" spans="1:11" x14ac:dyDescent="0.25">
      <c r="A440" s="1">
        <v>1001</v>
      </c>
      <c r="B440">
        <v>30</v>
      </c>
      <c r="C440">
        <v>22.99</v>
      </c>
      <c r="D440">
        <v>2</v>
      </c>
      <c r="E440">
        <f t="shared" si="6"/>
        <v>1</v>
      </c>
      <c r="F440">
        <v>17361.766100000001</v>
      </c>
      <c r="G440" t="s">
        <v>13</v>
      </c>
      <c r="H440" t="s">
        <v>8</v>
      </c>
      <c r="I440" t="s">
        <v>10</v>
      </c>
      <c r="J440">
        <f>_xlfn.XLOOKUP(C440,dim_BMI!$C$2:$C$7,dim_BMI!$A$2:$A$7,,1)</f>
        <v>2</v>
      </c>
      <c r="K440" t="str">
        <f>_xlfn.XLOOKUP(C440,dim_BMI!$C$2:$C$7,dim_BMI!$B$2:$B$7,,1)</f>
        <v>18.5 to 24.9 (Healthy Weight)</v>
      </c>
    </row>
    <row r="441" spans="1:11" x14ac:dyDescent="0.25">
      <c r="A441" s="1">
        <v>1033</v>
      </c>
      <c r="B441">
        <v>30</v>
      </c>
      <c r="C441">
        <v>27.93</v>
      </c>
      <c r="D441">
        <v>0</v>
      </c>
      <c r="E441">
        <f t="shared" si="6"/>
        <v>0</v>
      </c>
      <c r="F441">
        <v>4137.5227000000004</v>
      </c>
      <c r="G441" t="s">
        <v>14</v>
      </c>
      <c r="H441" t="s">
        <v>11</v>
      </c>
      <c r="I441" t="s">
        <v>7</v>
      </c>
      <c r="J441">
        <f>_xlfn.XLOOKUP(C441,dim_BMI!$C$2:$C$7,dim_BMI!$A$2:$A$7,,1)</f>
        <v>3</v>
      </c>
      <c r="K441" t="str">
        <f>_xlfn.XLOOKUP(C441,dim_BMI!$C$2:$C$7,dim_BMI!$B$2:$B$7,,1)</f>
        <v>25.0 to 29.9 (Overweight)</v>
      </c>
    </row>
    <row r="442" spans="1:11" x14ac:dyDescent="0.25">
      <c r="A442" s="1">
        <v>1120</v>
      </c>
      <c r="B442">
        <v>30</v>
      </c>
      <c r="C442">
        <v>19.95</v>
      </c>
      <c r="D442">
        <v>3</v>
      </c>
      <c r="E442">
        <f t="shared" si="6"/>
        <v>0</v>
      </c>
      <c r="F442">
        <v>5693.4305000000004</v>
      </c>
      <c r="G442" t="s">
        <v>13</v>
      </c>
      <c r="H442" t="s">
        <v>11</v>
      </c>
      <c r="I442" t="s">
        <v>7</v>
      </c>
      <c r="J442">
        <f>_xlfn.XLOOKUP(C442,dim_BMI!$C$2:$C$7,dim_BMI!$A$2:$A$7,,1)</f>
        <v>2</v>
      </c>
      <c r="K442" t="str">
        <f>_xlfn.XLOOKUP(C442,dim_BMI!$C$2:$C$7,dim_BMI!$B$2:$B$7,,1)</f>
        <v>18.5 to 24.9 (Healthy Weight)</v>
      </c>
    </row>
    <row r="443" spans="1:11" x14ac:dyDescent="0.25">
      <c r="A443" s="1">
        <v>1163</v>
      </c>
      <c r="B443">
        <v>30</v>
      </c>
      <c r="C443">
        <v>38.83</v>
      </c>
      <c r="D443">
        <v>1</v>
      </c>
      <c r="E443">
        <f t="shared" si="6"/>
        <v>0</v>
      </c>
      <c r="F443">
        <v>18963.171920000001</v>
      </c>
      <c r="G443" t="s">
        <v>12</v>
      </c>
      <c r="H443" t="s">
        <v>11</v>
      </c>
      <c r="I443" t="s">
        <v>10</v>
      </c>
      <c r="J443">
        <f>_xlfn.XLOOKUP(C443,dim_BMI!$C$2:$C$7,dim_BMI!$A$2:$A$7,,1)</f>
        <v>5</v>
      </c>
      <c r="K443" t="str">
        <f>_xlfn.XLOOKUP(C443,dim_BMI!$C$2:$C$7,dim_BMI!$B$2:$B$7,,1)</f>
        <v>35 to 39.9 (Obesity Class 2)</v>
      </c>
    </row>
    <row r="444" spans="1:11" x14ac:dyDescent="0.25">
      <c r="A444" s="1">
        <v>1221</v>
      </c>
      <c r="B444">
        <v>30</v>
      </c>
      <c r="C444">
        <v>21.945</v>
      </c>
      <c r="D444">
        <v>1</v>
      </c>
      <c r="E444">
        <f t="shared" si="6"/>
        <v>0</v>
      </c>
      <c r="F444">
        <v>4718.2035500000002</v>
      </c>
      <c r="G444" t="s">
        <v>14</v>
      </c>
      <c r="H444" t="s">
        <v>11</v>
      </c>
      <c r="I444" t="s">
        <v>7</v>
      </c>
      <c r="J444">
        <f>_xlfn.XLOOKUP(C444,dim_BMI!$C$2:$C$7,dim_BMI!$A$2:$A$7,,1)</f>
        <v>2</v>
      </c>
      <c r="K444" t="str">
        <f>_xlfn.XLOOKUP(C444,dim_BMI!$C$2:$C$7,dim_BMI!$B$2:$B$7,,1)</f>
        <v>18.5 to 24.9 (Healthy Weight)</v>
      </c>
    </row>
    <row r="445" spans="1:11" x14ac:dyDescent="0.25">
      <c r="A445" s="1">
        <v>1315</v>
      </c>
      <c r="B445">
        <v>30</v>
      </c>
      <c r="C445">
        <v>23.655000000000001</v>
      </c>
      <c r="D445">
        <v>3</v>
      </c>
      <c r="E445">
        <f t="shared" si="6"/>
        <v>1</v>
      </c>
      <c r="F445">
        <v>18765.87545</v>
      </c>
      <c r="G445" t="s">
        <v>13</v>
      </c>
      <c r="H445" t="s">
        <v>8</v>
      </c>
      <c r="I445" t="s">
        <v>7</v>
      </c>
      <c r="J445">
        <f>_xlfn.XLOOKUP(C445,dim_BMI!$C$2:$C$7,dim_BMI!$A$2:$A$7,,1)</f>
        <v>2</v>
      </c>
      <c r="K445" t="str">
        <f>_xlfn.XLOOKUP(C445,dim_BMI!$C$2:$C$7,dim_BMI!$B$2:$B$7,,1)</f>
        <v>18.5 to 24.9 (Healthy Weight)</v>
      </c>
    </row>
    <row r="446" spans="1:11" x14ac:dyDescent="0.25">
      <c r="A446" s="1">
        <v>6</v>
      </c>
      <c r="B446">
        <v>31</v>
      </c>
      <c r="C446">
        <v>25.74</v>
      </c>
      <c r="D446">
        <v>0</v>
      </c>
      <c r="E446">
        <f t="shared" si="6"/>
        <v>0</v>
      </c>
      <c r="F446">
        <v>3756.6215999999999</v>
      </c>
      <c r="G446" t="s">
        <v>12</v>
      </c>
      <c r="H446" t="s">
        <v>11</v>
      </c>
      <c r="I446" t="s">
        <v>7</v>
      </c>
      <c r="J446">
        <f>_xlfn.XLOOKUP(C446,dim_BMI!$C$2:$C$7,dim_BMI!$A$2:$A$7,,1)</f>
        <v>3</v>
      </c>
      <c r="K446" t="str">
        <f>_xlfn.XLOOKUP(C446,dim_BMI!$C$2:$C$7,dim_BMI!$B$2:$B$7,,1)</f>
        <v>25.0 to 29.9 (Overweight)</v>
      </c>
    </row>
    <row r="447" spans="1:11" x14ac:dyDescent="0.25">
      <c r="A447" s="1">
        <v>30</v>
      </c>
      <c r="B447">
        <v>31</v>
      </c>
      <c r="C447">
        <v>36.299999999999997</v>
      </c>
      <c r="D447">
        <v>2</v>
      </c>
      <c r="E447">
        <f t="shared" si="6"/>
        <v>1</v>
      </c>
      <c r="F447">
        <v>38711</v>
      </c>
      <c r="G447" t="s">
        <v>9</v>
      </c>
      <c r="H447" t="s">
        <v>8</v>
      </c>
      <c r="I447" t="s">
        <v>10</v>
      </c>
      <c r="J447">
        <f>_xlfn.XLOOKUP(C447,dim_BMI!$C$2:$C$7,dim_BMI!$A$2:$A$7,,1)</f>
        <v>5</v>
      </c>
      <c r="K447" t="str">
        <f>_xlfn.XLOOKUP(C447,dim_BMI!$C$2:$C$7,dim_BMI!$B$2:$B$7,,1)</f>
        <v>35 to 39.9 (Obesity Class 2)</v>
      </c>
    </row>
    <row r="448" spans="1:11" x14ac:dyDescent="0.25">
      <c r="A448" s="1">
        <v>42</v>
      </c>
      <c r="B448">
        <v>31</v>
      </c>
      <c r="C448">
        <v>36.630000000000003</v>
      </c>
      <c r="D448">
        <v>2</v>
      </c>
      <c r="E448">
        <f t="shared" si="6"/>
        <v>0</v>
      </c>
      <c r="F448">
        <v>4949.7587000000003</v>
      </c>
      <c r="G448" t="s">
        <v>12</v>
      </c>
      <c r="H448" t="s">
        <v>11</v>
      </c>
      <c r="I448" t="s">
        <v>7</v>
      </c>
      <c r="J448">
        <f>_xlfn.XLOOKUP(C448,dim_BMI!$C$2:$C$7,dim_BMI!$A$2:$A$7,,1)</f>
        <v>5</v>
      </c>
      <c r="K448" t="str">
        <f>_xlfn.XLOOKUP(C448,dim_BMI!$C$2:$C$7,dim_BMI!$B$2:$B$7,,1)</f>
        <v>35 to 39.9 (Obesity Class 2)</v>
      </c>
    </row>
    <row r="449" spans="1:11" x14ac:dyDescent="0.25">
      <c r="A449" s="1">
        <v>72</v>
      </c>
      <c r="B449">
        <v>31</v>
      </c>
      <c r="C449">
        <v>28.5</v>
      </c>
      <c r="D449">
        <v>5</v>
      </c>
      <c r="E449">
        <f t="shared" si="6"/>
        <v>0</v>
      </c>
      <c r="F449">
        <v>6799.4579999999996</v>
      </c>
      <c r="G449" t="s">
        <v>14</v>
      </c>
      <c r="H449" t="s">
        <v>11</v>
      </c>
      <c r="I449" t="s">
        <v>10</v>
      </c>
      <c r="J449">
        <f>_xlfn.XLOOKUP(C449,dim_BMI!$C$2:$C$7,dim_BMI!$A$2:$A$7,,1)</f>
        <v>3</v>
      </c>
      <c r="K449" t="str">
        <f>_xlfn.XLOOKUP(C449,dim_BMI!$C$2:$C$7,dim_BMI!$B$2:$B$7,,1)</f>
        <v>25.0 to 29.9 (Overweight)</v>
      </c>
    </row>
    <row r="450" spans="1:11" x14ac:dyDescent="0.25">
      <c r="A450" s="1">
        <v>81</v>
      </c>
      <c r="B450">
        <v>31</v>
      </c>
      <c r="C450">
        <v>26.885000000000002</v>
      </c>
      <c r="D450">
        <v>1</v>
      </c>
      <c r="E450">
        <f t="shared" si="6"/>
        <v>0</v>
      </c>
      <c r="F450">
        <v>4441.2131499999996</v>
      </c>
      <c r="G450" t="s">
        <v>14</v>
      </c>
      <c r="H450" t="s">
        <v>11</v>
      </c>
      <c r="I450" t="s">
        <v>10</v>
      </c>
      <c r="J450">
        <f>_xlfn.XLOOKUP(C450,dim_BMI!$C$2:$C$7,dim_BMI!$A$2:$A$7,,1)</f>
        <v>3</v>
      </c>
      <c r="K450" t="str">
        <f>_xlfn.XLOOKUP(C450,dim_BMI!$C$2:$C$7,dim_BMI!$B$2:$B$7,,1)</f>
        <v>25.0 to 29.9 (Overweight)</v>
      </c>
    </row>
    <row r="451" spans="1:11" x14ac:dyDescent="0.25">
      <c r="A451" s="1">
        <v>238</v>
      </c>
      <c r="B451">
        <v>31</v>
      </c>
      <c r="C451">
        <v>38.39</v>
      </c>
      <c r="D451">
        <v>2</v>
      </c>
      <c r="E451">
        <f t="shared" ref="E451:E514" si="7">IF(H451="yes",1,0)</f>
        <v>0</v>
      </c>
      <c r="F451">
        <v>4463.2051000000001</v>
      </c>
      <c r="G451" t="s">
        <v>12</v>
      </c>
      <c r="H451" t="s">
        <v>11</v>
      </c>
      <c r="I451" t="s">
        <v>10</v>
      </c>
      <c r="J451">
        <f>_xlfn.XLOOKUP(C451,dim_BMI!$C$2:$C$7,dim_BMI!$A$2:$A$7,,1)</f>
        <v>5</v>
      </c>
      <c r="K451" t="str">
        <f>_xlfn.XLOOKUP(C451,dim_BMI!$C$2:$C$7,dim_BMI!$B$2:$B$7,,1)</f>
        <v>35 to 39.9 (Obesity Class 2)</v>
      </c>
    </row>
    <row r="452" spans="1:11" x14ac:dyDescent="0.25">
      <c r="A452" s="1">
        <v>299</v>
      </c>
      <c r="B452">
        <v>31</v>
      </c>
      <c r="C452">
        <v>34.39</v>
      </c>
      <c r="D452">
        <v>3</v>
      </c>
      <c r="E452">
        <f t="shared" si="7"/>
        <v>1</v>
      </c>
      <c r="F452">
        <v>38746.355100000001</v>
      </c>
      <c r="G452" t="s">
        <v>13</v>
      </c>
      <c r="H452" t="s">
        <v>8</v>
      </c>
      <c r="I452" t="s">
        <v>10</v>
      </c>
      <c r="J452">
        <f>_xlfn.XLOOKUP(C452,dim_BMI!$C$2:$C$7,dim_BMI!$A$2:$A$7,,1)</f>
        <v>4</v>
      </c>
      <c r="K452" t="str">
        <f>_xlfn.XLOOKUP(C452,dim_BMI!$C$2:$C$7,dim_BMI!$B$2:$B$7,,1)</f>
        <v>30.0 to 34.9 (Obesity Class 1)</v>
      </c>
    </row>
    <row r="453" spans="1:11" x14ac:dyDescent="0.25">
      <c r="A453" s="1">
        <v>405</v>
      </c>
      <c r="B453">
        <v>31</v>
      </c>
      <c r="C453">
        <v>20.399999999999999</v>
      </c>
      <c r="D453">
        <v>0</v>
      </c>
      <c r="E453">
        <f t="shared" si="7"/>
        <v>0</v>
      </c>
      <c r="F453">
        <v>3260.1990000000001</v>
      </c>
      <c r="G453" t="s">
        <v>9</v>
      </c>
      <c r="H453" t="s">
        <v>11</v>
      </c>
      <c r="I453" t="s">
        <v>10</v>
      </c>
      <c r="J453">
        <f>_xlfn.XLOOKUP(C453,dim_BMI!$C$2:$C$7,dim_BMI!$A$2:$A$7,,1)</f>
        <v>2</v>
      </c>
      <c r="K453" t="str">
        <f>_xlfn.XLOOKUP(C453,dim_BMI!$C$2:$C$7,dim_BMI!$B$2:$B$7,,1)</f>
        <v>18.5 to 24.9 (Healthy Weight)</v>
      </c>
    </row>
    <row r="454" spans="1:11" x14ac:dyDescent="0.25">
      <c r="A454" s="1">
        <v>435</v>
      </c>
      <c r="B454">
        <v>31</v>
      </c>
      <c r="C454">
        <v>28.594999999999999</v>
      </c>
      <c r="D454">
        <v>1</v>
      </c>
      <c r="E454">
        <f t="shared" si="7"/>
        <v>0</v>
      </c>
      <c r="F454">
        <v>4243.5900499999998</v>
      </c>
      <c r="G454" t="s">
        <v>13</v>
      </c>
      <c r="H454" t="s">
        <v>11</v>
      </c>
      <c r="I454" t="s">
        <v>10</v>
      </c>
      <c r="J454">
        <f>_xlfn.XLOOKUP(C454,dim_BMI!$C$2:$C$7,dim_BMI!$A$2:$A$7,,1)</f>
        <v>3</v>
      </c>
      <c r="K454" t="str">
        <f>_xlfn.XLOOKUP(C454,dim_BMI!$C$2:$C$7,dim_BMI!$B$2:$B$7,,1)</f>
        <v>25.0 to 29.9 (Overweight)</v>
      </c>
    </row>
    <row r="455" spans="1:11" x14ac:dyDescent="0.25">
      <c r="A455" s="1">
        <v>441</v>
      </c>
      <c r="B455">
        <v>31</v>
      </c>
      <c r="C455">
        <v>32.68</v>
      </c>
      <c r="D455">
        <v>1</v>
      </c>
      <c r="E455">
        <f t="shared" si="7"/>
        <v>0</v>
      </c>
      <c r="F455">
        <v>4738.2682000000004</v>
      </c>
      <c r="G455" t="s">
        <v>13</v>
      </c>
      <c r="H455" t="s">
        <v>11</v>
      </c>
      <c r="I455" t="s">
        <v>7</v>
      </c>
      <c r="J455">
        <f>_xlfn.XLOOKUP(C455,dim_BMI!$C$2:$C$7,dim_BMI!$A$2:$A$7,,1)</f>
        <v>4</v>
      </c>
      <c r="K455" t="str">
        <f>_xlfn.XLOOKUP(C455,dim_BMI!$C$2:$C$7,dim_BMI!$B$2:$B$7,,1)</f>
        <v>30.0 to 34.9 (Obesity Class 1)</v>
      </c>
    </row>
    <row r="456" spans="1:11" x14ac:dyDescent="0.25">
      <c r="A456" s="1">
        <v>486</v>
      </c>
      <c r="B456">
        <v>31</v>
      </c>
      <c r="C456">
        <v>31.065000000000001</v>
      </c>
      <c r="D456">
        <v>0</v>
      </c>
      <c r="E456">
        <f t="shared" si="7"/>
        <v>0</v>
      </c>
      <c r="F456">
        <v>4347.0233500000004</v>
      </c>
      <c r="G456" t="s">
        <v>14</v>
      </c>
      <c r="H456" t="s">
        <v>11</v>
      </c>
      <c r="I456" t="s">
        <v>7</v>
      </c>
      <c r="J456">
        <f>_xlfn.XLOOKUP(C456,dim_BMI!$C$2:$C$7,dim_BMI!$A$2:$A$7,,1)</f>
        <v>4</v>
      </c>
      <c r="K456" t="str">
        <f>_xlfn.XLOOKUP(C456,dim_BMI!$C$2:$C$7,dim_BMI!$B$2:$B$7,,1)</f>
        <v>30.0 to 34.9 (Obesity Class 1)</v>
      </c>
    </row>
    <row r="457" spans="1:11" x14ac:dyDescent="0.25">
      <c r="A457" s="1">
        <v>497</v>
      </c>
      <c r="B457">
        <v>31</v>
      </c>
      <c r="C457">
        <v>23.6</v>
      </c>
      <c r="D457">
        <v>2</v>
      </c>
      <c r="E457">
        <f t="shared" si="7"/>
        <v>0</v>
      </c>
      <c r="F457">
        <v>4931.6469999999999</v>
      </c>
      <c r="G457" t="s">
        <v>9</v>
      </c>
      <c r="H457" t="s">
        <v>11</v>
      </c>
      <c r="I457" t="s">
        <v>7</v>
      </c>
      <c r="J457">
        <f>_xlfn.XLOOKUP(C457,dim_BMI!$C$2:$C$7,dim_BMI!$A$2:$A$7,,1)</f>
        <v>2</v>
      </c>
      <c r="K457" t="str">
        <f>_xlfn.XLOOKUP(C457,dim_BMI!$C$2:$C$7,dim_BMI!$B$2:$B$7,,1)</f>
        <v>18.5 to 24.9 (Healthy Weight)</v>
      </c>
    </row>
    <row r="458" spans="1:11" x14ac:dyDescent="0.25">
      <c r="A458" s="1">
        <v>520</v>
      </c>
      <c r="B458">
        <v>31</v>
      </c>
      <c r="C458">
        <v>30.875</v>
      </c>
      <c r="D458">
        <v>0</v>
      </c>
      <c r="E458">
        <f t="shared" si="7"/>
        <v>0</v>
      </c>
      <c r="F458">
        <v>3857.7592500000001</v>
      </c>
      <c r="G458" t="s">
        <v>14</v>
      </c>
      <c r="H458" t="s">
        <v>11</v>
      </c>
      <c r="I458" t="s">
        <v>10</v>
      </c>
      <c r="J458">
        <f>_xlfn.XLOOKUP(C458,dim_BMI!$C$2:$C$7,dim_BMI!$A$2:$A$7,,1)</f>
        <v>4</v>
      </c>
      <c r="K458" t="str">
        <f>_xlfn.XLOOKUP(C458,dim_BMI!$C$2:$C$7,dim_BMI!$B$2:$B$7,,1)</f>
        <v>30.0 to 34.9 (Obesity Class 1)</v>
      </c>
    </row>
    <row r="459" spans="1:11" x14ac:dyDescent="0.25">
      <c r="A459" s="1">
        <v>571</v>
      </c>
      <c r="B459">
        <v>31</v>
      </c>
      <c r="C459">
        <v>29.1</v>
      </c>
      <c r="D459">
        <v>0</v>
      </c>
      <c r="E459">
        <f t="shared" si="7"/>
        <v>0</v>
      </c>
      <c r="F459">
        <v>3761.2919999999999</v>
      </c>
      <c r="G459" t="s">
        <v>9</v>
      </c>
      <c r="H459" t="s">
        <v>11</v>
      </c>
      <c r="I459" t="s">
        <v>7</v>
      </c>
      <c r="J459">
        <f>_xlfn.XLOOKUP(C459,dim_BMI!$C$2:$C$7,dim_BMI!$A$2:$A$7,,1)</f>
        <v>3</v>
      </c>
      <c r="K459" t="str">
        <f>_xlfn.XLOOKUP(C459,dim_BMI!$C$2:$C$7,dim_BMI!$B$2:$B$7,,1)</f>
        <v>25.0 to 29.9 (Overweight)</v>
      </c>
    </row>
    <row r="460" spans="1:11" x14ac:dyDescent="0.25">
      <c r="A460" s="1">
        <v>578</v>
      </c>
      <c r="B460">
        <v>31</v>
      </c>
      <c r="C460">
        <v>38.094999999999999</v>
      </c>
      <c r="D460">
        <v>1</v>
      </c>
      <c r="E460">
        <f t="shared" si="7"/>
        <v>1</v>
      </c>
      <c r="F460">
        <v>58571.074480000003</v>
      </c>
      <c r="G460" t="s">
        <v>14</v>
      </c>
      <c r="H460" t="s">
        <v>8</v>
      </c>
      <c r="I460" t="s">
        <v>7</v>
      </c>
      <c r="J460">
        <f>_xlfn.XLOOKUP(C460,dim_BMI!$C$2:$C$7,dim_BMI!$A$2:$A$7,,1)</f>
        <v>5</v>
      </c>
      <c r="K460" t="str">
        <f>_xlfn.XLOOKUP(C460,dim_BMI!$C$2:$C$7,dim_BMI!$B$2:$B$7,,1)</f>
        <v>35 to 39.9 (Obesity Class 2)</v>
      </c>
    </row>
    <row r="461" spans="1:11" x14ac:dyDescent="0.25">
      <c r="A461" s="1">
        <v>709</v>
      </c>
      <c r="B461">
        <v>31</v>
      </c>
      <c r="C461">
        <v>30.495000000000001</v>
      </c>
      <c r="D461">
        <v>3</v>
      </c>
      <c r="E461">
        <f t="shared" si="7"/>
        <v>0</v>
      </c>
      <c r="F461">
        <v>6113.2310500000003</v>
      </c>
      <c r="G461" t="s">
        <v>14</v>
      </c>
      <c r="H461" t="s">
        <v>11</v>
      </c>
      <c r="I461" t="s">
        <v>7</v>
      </c>
      <c r="J461">
        <f>_xlfn.XLOOKUP(C461,dim_BMI!$C$2:$C$7,dim_BMI!$A$2:$A$7,,1)</f>
        <v>4</v>
      </c>
      <c r="K461" t="str">
        <f>_xlfn.XLOOKUP(C461,dim_BMI!$C$2:$C$7,dim_BMI!$B$2:$B$7,,1)</f>
        <v>30.0 to 34.9 (Obesity Class 1)</v>
      </c>
    </row>
    <row r="462" spans="1:11" x14ac:dyDescent="0.25">
      <c r="A462" s="1">
        <v>744</v>
      </c>
      <c r="B462">
        <v>31</v>
      </c>
      <c r="C462">
        <v>26.62</v>
      </c>
      <c r="D462">
        <v>0</v>
      </c>
      <c r="E462">
        <f t="shared" si="7"/>
        <v>0</v>
      </c>
      <c r="F462">
        <v>3757.8447999999999</v>
      </c>
      <c r="G462" t="s">
        <v>12</v>
      </c>
      <c r="H462" t="s">
        <v>11</v>
      </c>
      <c r="I462" t="s">
        <v>7</v>
      </c>
      <c r="J462">
        <f>_xlfn.XLOOKUP(C462,dim_BMI!$C$2:$C$7,dim_BMI!$A$2:$A$7,,1)</f>
        <v>3</v>
      </c>
      <c r="K462" t="str">
        <f>_xlfn.XLOOKUP(C462,dim_BMI!$C$2:$C$7,dim_BMI!$B$2:$B$7,,1)</f>
        <v>25.0 to 29.9 (Overweight)</v>
      </c>
    </row>
    <row r="463" spans="1:11" x14ac:dyDescent="0.25">
      <c r="A463" s="1">
        <v>756</v>
      </c>
      <c r="B463">
        <v>31</v>
      </c>
      <c r="C463">
        <v>27.645</v>
      </c>
      <c r="D463">
        <v>2</v>
      </c>
      <c r="E463">
        <f t="shared" si="7"/>
        <v>0</v>
      </c>
      <c r="F463">
        <v>5031.26955</v>
      </c>
      <c r="G463" t="s">
        <v>14</v>
      </c>
      <c r="H463" t="s">
        <v>11</v>
      </c>
      <c r="I463" t="s">
        <v>10</v>
      </c>
      <c r="J463">
        <f>_xlfn.XLOOKUP(C463,dim_BMI!$C$2:$C$7,dim_BMI!$A$2:$A$7,,1)</f>
        <v>3</v>
      </c>
      <c r="K463" t="str">
        <f>_xlfn.XLOOKUP(C463,dim_BMI!$C$2:$C$7,dim_BMI!$B$2:$B$7,,1)</f>
        <v>25.0 to 29.9 (Overweight)</v>
      </c>
    </row>
    <row r="464" spans="1:11" x14ac:dyDescent="0.25">
      <c r="A464" s="1">
        <v>785</v>
      </c>
      <c r="B464">
        <v>31</v>
      </c>
      <c r="C464">
        <v>29.26</v>
      </c>
      <c r="D464">
        <v>1</v>
      </c>
      <c r="E464">
        <f t="shared" si="7"/>
        <v>0</v>
      </c>
      <c r="F464">
        <v>4350.5144</v>
      </c>
      <c r="G464" t="s">
        <v>12</v>
      </c>
      <c r="H464" t="s">
        <v>11</v>
      </c>
      <c r="I464" t="s">
        <v>7</v>
      </c>
      <c r="J464">
        <f>_xlfn.XLOOKUP(C464,dim_BMI!$C$2:$C$7,dim_BMI!$A$2:$A$7,,1)</f>
        <v>3</v>
      </c>
      <c r="K464" t="str">
        <f>_xlfn.XLOOKUP(C464,dim_BMI!$C$2:$C$7,dim_BMI!$B$2:$B$7,,1)</f>
        <v>25.0 to 29.9 (Overweight)</v>
      </c>
    </row>
    <row r="465" spans="1:11" x14ac:dyDescent="0.25">
      <c r="A465" s="1">
        <v>956</v>
      </c>
      <c r="B465">
        <v>31</v>
      </c>
      <c r="C465">
        <v>39.49</v>
      </c>
      <c r="D465">
        <v>1</v>
      </c>
      <c r="E465">
        <f t="shared" si="7"/>
        <v>0</v>
      </c>
      <c r="F465">
        <v>3875.7341000000001</v>
      </c>
      <c r="G465" t="s">
        <v>12</v>
      </c>
      <c r="H465" t="s">
        <v>11</v>
      </c>
      <c r="I465" t="s">
        <v>10</v>
      </c>
      <c r="J465">
        <f>_xlfn.XLOOKUP(C465,dim_BMI!$C$2:$C$7,dim_BMI!$A$2:$A$7,,1)</f>
        <v>5</v>
      </c>
      <c r="K465" t="str">
        <f>_xlfn.XLOOKUP(C465,dim_BMI!$C$2:$C$7,dim_BMI!$B$2:$B$7,,1)</f>
        <v>35 to 39.9 (Obesity Class 2)</v>
      </c>
    </row>
    <row r="466" spans="1:11" x14ac:dyDescent="0.25">
      <c r="A466" s="1">
        <v>983</v>
      </c>
      <c r="B466">
        <v>31</v>
      </c>
      <c r="C466">
        <v>25.9</v>
      </c>
      <c r="D466">
        <v>3</v>
      </c>
      <c r="E466">
        <f t="shared" si="7"/>
        <v>1</v>
      </c>
      <c r="F466">
        <v>19199.944</v>
      </c>
      <c r="G466" t="s">
        <v>9</v>
      </c>
      <c r="H466" t="s">
        <v>8</v>
      </c>
      <c r="I466" t="s">
        <v>10</v>
      </c>
      <c r="J466">
        <f>_xlfn.XLOOKUP(C466,dim_BMI!$C$2:$C$7,dim_BMI!$A$2:$A$7,,1)</f>
        <v>3</v>
      </c>
      <c r="K466" t="str">
        <f>_xlfn.XLOOKUP(C466,dim_BMI!$C$2:$C$7,dim_BMI!$B$2:$B$7,,1)</f>
        <v>25.0 to 29.9 (Overweight)</v>
      </c>
    </row>
    <row r="467" spans="1:11" x14ac:dyDescent="0.25">
      <c r="A467" s="1">
        <v>1180</v>
      </c>
      <c r="B467">
        <v>31</v>
      </c>
      <c r="C467">
        <v>29.81</v>
      </c>
      <c r="D467">
        <v>0</v>
      </c>
      <c r="E467">
        <f t="shared" si="7"/>
        <v>1</v>
      </c>
      <c r="F467">
        <v>19350.368900000001</v>
      </c>
      <c r="G467" t="s">
        <v>12</v>
      </c>
      <c r="H467" t="s">
        <v>8</v>
      </c>
      <c r="I467" t="s">
        <v>10</v>
      </c>
      <c r="J467">
        <f>_xlfn.XLOOKUP(C467,dim_BMI!$C$2:$C$7,dim_BMI!$A$2:$A$7,,1)</f>
        <v>3</v>
      </c>
      <c r="K467" t="str">
        <f>_xlfn.XLOOKUP(C467,dim_BMI!$C$2:$C$7,dim_BMI!$B$2:$B$7,,1)</f>
        <v>25.0 to 29.9 (Overweight)</v>
      </c>
    </row>
    <row r="468" spans="1:11" x14ac:dyDescent="0.25">
      <c r="A468" s="1">
        <v>1191</v>
      </c>
      <c r="B468">
        <v>31</v>
      </c>
      <c r="C468">
        <v>32.774999999999999</v>
      </c>
      <c r="D468">
        <v>2</v>
      </c>
      <c r="E468">
        <f t="shared" si="7"/>
        <v>0</v>
      </c>
      <c r="F468">
        <v>5327.4002499999997</v>
      </c>
      <c r="G468" t="s">
        <v>13</v>
      </c>
      <c r="H468" t="s">
        <v>11</v>
      </c>
      <c r="I468" t="s">
        <v>7</v>
      </c>
      <c r="J468">
        <f>_xlfn.XLOOKUP(C468,dim_BMI!$C$2:$C$7,dim_BMI!$A$2:$A$7,,1)</f>
        <v>4</v>
      </c>
      <c r="K468" t="str">
        <f>_xlfn.XLOOKUP(C468,dim_BMI!$C$2:$C$7,dim_BMI!$B$2:$B$7,,1)</f>
        <v>30.0 to 34.9 (Obesity Class 1)</v>
      </c>
    </row>
    <row r="469" spans="1:11" x14ac:dyDescent="0.25">
      <c r="A469" s="1">
        <v>1195</v>
      </c>
      <c r="B469">
        <v>31</v>
      </c>
      <c r="C469">
        <v>21.754999999999999</v>
      </c>
      <c r="D469">
        <v>0</v>
      </c>
      <c r="E469">
        <f t="shared" si="7"/>
        <v>0</v>
      </c>
      <c r="F469">
        <v>4134.0824499999999</v>
      </c>
      <c r="G469" t="s">
        <v>13</v>
      </c>
      <c r="H469" t="s">
        <v>11</v>
      </c>
      <c r="I469" t="s">
        <v>7</v>
      </c>
      <c r="J469">
        <f>_xlfn.XLOOKUP(C469,dim_BMI!$C$2:$C$7,dim_BMI!$A$2:$A$7,,1)</f>
        <v>2</v>
      </c>
      <c r="K469" t="str">
        <f>_xlfn.XLOOKUP(C469,dim_BMI!$C$2:$C$7,dim_BMI!$B$2:$B$7,,1)</f>
        <v>18.5 to 24.9 (Healthy Weight)</v>
      </c>
    </row>
    <row r="470" spans="1:11" x14ac:dyDescent="0.25">
      <c r="A470" s="1">
        <v>1200</v>
      </c>
      <c r="B470">
        <v>31</v>
      </c>
      <c r="C470">
        <v>25.8</v>
      </c>
      <c r="D470">
        <v>2</v>
      </c>
      <c r="E470">
        <f t="shared" si="7"/>
        <v>0</v>
      </c>
      <c r="F470">
        <v>4934.7049999999999</v>
      </c>
      <c r="G470" t="s">
        <v>9</v>
      </c>
      <c r="H470" t="s">
        <v>11</v>
      </c>
      <c r="I470" t="s">
        <v>7</v>
      </c>
      <c r="J470">
        <f>_xlfn.XLOOKUP(C470,dim_BMI!$C$2:$C$7,dim_BMI!$A$2:$A$7,,1)</f>
        <v>3</v>
      </c>
      <c r="K470" t="str">
        <f>_xlfn.XLOOKUP(C470,dim_BMI!$C$2:$C$7,dim_BMI!$B$2:$B$7,,1)</f>
        <v>25.0 to 29.9 (Overweight)</v>
      </c>
    </row>
    <row r="471" spans="1:11" x14ac:dyDescent="0.25">
      <c r="A471" s="1">
        <v>1321</v>
      </c>
      <c r="B471">
        <v>31</v>
      </c>
      <c r="C471">
        <v>31.065000000000001</v>
      </c>
      <c r="D471">
        <v>3</v>
      </c>
      <c r="E471">
        <f t="shared" si="7"/>
        <v>0</v>
      </c>
      <c r="F471">
        <v>5425.0233500000004</v>
      </c>
      <c r="G471" t="s">
        <v>13</v>
      </c>
      <c r="H471" t="s">
        <v>11</v>
      </c>
      <c r="I471" t="s">
        <v>10</v>
      </c>
      <c r="J471">
        <f>_xlfn.XLOOKUP(C471,dim_BMI!$C$2:$C$7,dim_BMI!$A$2:$A$7,,1)</f>
        <v>4</v>
      </c>
      <c r="K471" t="str">
        <f>_xlfn.XLOOKUP(C471,dim_BMI!$C$2:$C$7,dim_BMI!$B$2:$B$7,,1)</f>
        <v>30.0 to 34.9 (Obesity Class 1)</v>
      </c>
    </row>
    <row r="472" spans="1:11" x14ac:dyDescent="0.25">
      <c r="A472" s="1">
        <v>1325</v>
      </c>
      <c r="B472">
        <v>31</v>
      </c>
      <c r="C472">
        <v>25.934999999999999</v>
      </c>
      <c r="D472">
        <v>1</v>
      </c>
      <c r="E472">
        <f t="shared" si="7"/>
        <v>0</v>
      </c>
      <c r="F472">
        <v>4239.8926499999998</v>
      </c>
      <c r="G472" t="s">
        <v>13</v>
      </c>
      <c r="H472" t="s">
        <v>11</v>
      </c>
      <c r="I472" t="s">
        <v>10</v>
      </c>
      <c r="J472">
        <f>_xlfn.XLOOKUP(C472,dim_BMI!$C$2:$C$7,dim_BMI!$A$2:$A$7,,1)</f>
        <v>3</v>
      </c>
      <c r="K472" t="str">
        <f>_xlfn.XLOOKUP(C472,dim_BMI!$C$2:$C$7,dim_BMI!$B$2:$B$7,,1)</f>
        <v>25.0 to 29.9 (Overweight)</v>
      </c>
    </row>
    <row r="473" spans="1:11" x14ac:dyDescent="0.25">
      <c r="A473" s="1">
        <v>5</v>
      </c>
      <c r="B473">
        <v>32</v>
      </c>
      <c r="C473">
        <v>28.88</v>
      </c>
      <c r="D473">
        <v>0</v>
      </c>
      <c r="E473">
        <f t="shared" si="7"/>
        <v>0</v>
      </c>
      <c r="F473">
        <v>3866.8552</v>
      </c>
      <c r="G473" t="s">
        <v>13</v>
      </c>
      <c r="H473" t="s">
        <v>11</v>
      </c>
      <c r="I473" t="s">
        <v>10</v>
      </c>
      <c r="J473">
        <f>_xlfn.XLOOKUP(C473,dim_BMI!$C$2:$C$7,dim_BMI!$A$2:$A$7,,1)</f>
        <v>3</v>
      </c>
      <c r="K473" t="str">
        <f>_xlfn.XLOOKUP(C473,dim_BMI!$C$2:$C$7,dim_BMI!$B$2:$B$7,,1)</f>
        <v>25.0 to 29.9 (Overweight)</v>
      </c>
    </row>
    <row r="474" spans="1:11" x14ac:dyDescent="0.25">
      <c r="A474" s="1">
        <v>129</v>
      </c>
      <c r="B474">
        <v>32</v>
      </c>
      <c r="C474">
        <v>17.765000000000001</v>
      </c>
      <c r="D474">
        <v>2</v>
      </c>
      <c r="E474">
        <f t="shared" si="7"/>
        <v>1</v>
      </c>
      <c r="F474">
        <v>32734.186300000001</v>
      </c>
      <c r="G474" t="s">
        <v>13</v>
      </c>
      <c r="H474" t="s">
        <v>8</v>
      </c>
      <c r="I474" t="s">
        <v>7</v>
      </c>
      <c r="J474">
        <f>_xlfn.XLOOKUP(C474,dim_BMI!$C$2:$C$7,dim_BMI!$A$2:$A$7,,1)</f>
        <v>1</v>
      </c>
      <c r="K474" t="str">
        <f>_xlfn.XLOOKUP(C474,dim_BMI!$C$2:$C$7,dim_BMI!$B$2:$B$7,,1)</f>
        <v>18.49 or less (Underweight)</v>
      </c>
    </row>
    <row r="475" spans="1:11" x14ac:dyDescent="0.25">
      <c r="A475" s="1">
        <v>153</v>
      </c>
      <c r="B475">
        <v>32</v>
      </c>
      <c r="C475">
        <v>37.145000000000003</v>
      </c>
      <c r="D475">
        <v>3</v>
      </c>
      <c r="E475">
        <f t="shared" si="7"/>
        <v>0</v>
      </c>
      <c r="F475">
        <v>6334.3435499999996</v>
      </c>
      <c r="G475" t="s">
        <v>14</v>
      </c>
      <c r="H475" t="s">
        <v>11</v>
      </c>
      <c r="I475" t="s">
        <v>7</v>
      </c>
      <c r="J475">
        <f>_xlfn.XLOOKUP(C475,dim_BMI!$C$2:$C$7,dim_BMI!$A$2:$A$7,,1)</f>
        <v>5</v>
      </c>
      <c r="K475" t="str">
        <f>_xlfn.XLOOKUP(C475,dim_BMI!$C$2:$C$7,dim_BMI!$B$2:$B$7,,1)</f>
        <v>35 to 39.9 (Obesity Class 2)</v>
      </c>
    </row>
    <row r="476" spans="1:11" x14ac:dyDescent="0.25">
      <c r="A476" s="1">
        <v>164</v>
      </c>
      <c r="B476">
        <v>32</v>
      </c>
      <c r="C476">
        <v>29.8</v>
      </c>
      <c r="D476">
        <v>2</v>
      </c>
      <c r="E476">
        <f t="shared" si="7"/>
        <v>0</v>
      </c>
      <c r="F476">
        <v>5152.134</v>
      </c>
      <c r="G476" t="s">
        <v>9</v>
      </c>
      <c r="H476" t="s">
        <v>11</v>
      </c>
      <c r="I476" t="s">
        <v>7</v>
      </c>
      <c r="J476">
        <f>_xlfn.XLOOKUP(C476,dim_BMI!$C$2:$C$7,dim_BMI!$A$2:$A$7,,1)</f>
        <v>3</v>
      </c>
      <c r="K476" t="str">
        <f>_xlfn.XLOOKUP(C476,dim_BMI!$C$2:$C$7,dim_BMI!$B$2:$B$7,,1)</f>
        <v>25.0 to 29.9 (Overweight)</v>
      </c>
    </row>
    <row r="477" spans="1:11" x14ac:dyDescent="0.25">
      <c r="A477" s="1">
        <v>168</v>
      </c>
      <c r="B477">
        <v>32</v>
      </c>
      <c r="C477">
        <v>33.155000000000001</v>
      </c>
      <c r="D477">
        <v>3</v>
      </c>
      <c r="E477">
        <f t="shared" si="7"/>
        <v>0</v>
      </c>
      <c r="F477">
        <v>6128.79745</v>
      </c>
      <c r="G477" t="s">
        <v>13</v>
      </c>
      <c r="H477" t="s">
        <v>11</v>
      </c>
      <c r="I477" t="s">
        <v>7</v>
      </c>
      <c r="J477">
        <f>_xlfn.XLOOKUP(C477,dim_BMI!$C$2:$C$7,dim_BMI!$A$2:$A$7,,1)</f>
        <v>4</v>
      </c>
      <c r="K477" t="str">
        <f>_xlfn.XLOOKUP(C477,dim_BMI!$C$2:$C$7,dim_BMI!$B$2:$B$7,,1)</f>
        <v>30.0 to 34.9 (Obesity Class 1)</v>
      </c>
    </row>
    <row r="478" spans="1:11" x14ac:dyDescent="0.25">
      <c r="A478" s="1">
        <v>223</v>
      </c>
      <c r="B478">
        <v>32</v>
      </c>
      <c r="C478">
        <v>30.8</v>
      </c>
      <c r="D478">
        <v>3</v>
      </c>
      <c r="E478">
        <f t="shared" si="7"/>
        <v>0</v>
      </c>
      <c r="F478">
        <v>5253.5240000000003</v>
      </c>
      <c r="G478" t="s">
        <v>9</v>
      </c>
      <c r="H478" t="s">
        <v>11</v>
      </c>
      <c r="I478" t="s">
        <v>10</v>
      </c>
      <c r="J478">
        <f>_xlfn.XLOOKUP(C478,dim_BMI!$C$2:$C$7,dim_BMI!$A$2:$A$7,,1)</f>
        <v>4</v>
      </c>
      <c r="K478" t="str">
        <f>_xlfn.XLOOKUP(C478,dim_BMI!$C$2:$C$7,dim_BMI!$B$2:$B$7,,1)</f>
        <v>30.0 to 34.9 (Obesity Class 1)</v>
      </c>
    </row>
    <row r="479" spans="1:11" x14ac:dyDescent="0.25">
      <c r="A479" s="1">
        <v>320</v>
      </c>
      <c r="B479">
        <v>32</v>
      </c>
      <c r="C479">
        <v>37.335000000000001</v>
      </c>
      <c r="D479">
        <v>1</v>
      </c>
      <c r="E479">
        <f t="shared" si="7"/>
        <v>0</v>
      </c>
      <c r="F479">
        <v>4667.6076499999999</v>
      </c>
      <c r="G479" t="s">
        <v>14</v>
      </c>
      <c r="H479" t="s">
        <v>11</v>
      </c>
      <c r="I479" t="s">
        <v>10</v>
      </c>
      <c r="J479">
        <f>_xlfn.XLOOKUP(C479,dim_BMI!$C$2:$C$7,dim_BMI!$A$2:$A$7,,1)</f>
        <v>5</v>
      </c>
      <c r="K479" t="str">
        <f>_xlfn.XLOOKUP(C479,dim_BMI!$C$2:$C$7,dim_BMI!$B$2:$B$7,,1)</f>
        <v>35 to 39.9 (Obesity Class 2)</v>
      </c>
    </row>
    <row r="480" spans="1:11" x14ac:dyDescent="0.25">
      <c r="A480" s="1">
        <v>410</v>
      </c>
      <c r="B480">
        <v>32</v>
      </c>
      <c r="C480">
        <v>30.03</v>
      </c>
      <c r="D480">
        <v>1</v>
      </c>
      <c r="E480">
        <f t="shared" si="7"/>
        <v>0</v>
      </c>
      <c r="F480">
        <v>4074.4537</v>
      </c>
      <c r="G480" t="s">
        <v>12</v>
      </c>
      <c r="H480" t="s">
        <v>11</v>
      </c>
      <c r="I480" t="s">
        <v>10</v>
      </c>
      <c r="J480">
        <f>_xlfn.XLOOKUP(C480,dim_BMI!$C$2:$C$7,dim_BMI!$A$2:$A$7,,1)</f>
        <v>4</v>
      </c>
      <c r="K480" t="str">
        <f>_xlfn.XLOOKUP(C480,dim_BMI!$C$2:$C$7,dim_BMI!$B$2:$B$7,,1)</f>
        <v>30.0 to 34.9 (Obesity Class 1)</v>
      </c>
    </row>
    <row r="481" spans="1:11" x14ac:dyDescent="0.25">
      <c r="A481" s="1">
        <v>455</v>
      </c>
      <c r="B481">
        <v>32</v>
      </c>
      <c r="C481">
        <v>46.53</v>
      </c>
      <c r="D481">
        <v>2</v>
      </c>
      <c r="E481">
        <f t="shared" si="7"/>
        <v>0</v>
      </c>
      <c r="F481">
        <v>4686.3887000000004</v>
      </c>
      <c r="G481" t="s">
        <v>12</v>
      </c>
      <c r="H481" t="s">
        <v>11</v>
      </c>
      <c r="I481" t="s">
        <v>10</v>
      </c>
      <c r="J481">
        <f>_xlfn.XLOOKUP(C481,dim_BMI!$C$2:$C$7,dim_BMI!$A$2:$A$7,,1)</f>
        <v>6</v>
      </c>
      <c r="K481" t="str">
        <f>_xlfn.XLOOKUP(C481,dim_BMI!$C$2:$C$7,dim_BMI!$B$2:$B$7,,1)</f>
        <v>40 or higher (Severe Obesity Class 3)</v>
      </c>
    </row>
    <row r="482" spans="1:11" x14ac:dyDescent="0.25">
      <c r="A482" s="1">
        <v>522</v>
      </c>
      <c r="B482">
        <v>32</v>
      </c>
      <c r="C482">
        <v>44.22</v>
      </c>
      <c r="D482">
        <v>0</v>
      </c>
      <c r="E482">
        <f t="shared" si="7"/>
        <v>0</v>
      </c>
      <c r="F482">
        <v>3994.1777999999999</v>
      </c>
      <c r="G482" t="s">
        <v>12</v>
      </c>
      <c r="H482" t="s">
        <v>11</v>
      </c>
      <c r="I482" t="s">
        <v>7</v>
      </c>
      <c r="J482">
        <f>_xlfn.XLOOKUP(C482,dim_BMI!$C$2:$C$7,dim_BMI!$A$2:$A$7,,1)</f>
        <v>6</v>
      </c>
      <c r="K482" t="str">
        <f>_xlfn.XLOOKUP(C482,dim_BMI!$C$2:$C$7,dim_BMI!$B$2:$B$7,,1)</f>
        <v>40 or higher (Severe Obesity Class 3)</v>
      </c>
    </row>
    <row r="483" spans="1:11" x14ac:dyDescent="0.25">
      <c r="A483" s="1">
        <v>552</v>
      </c>
      <c r="B483">
        <v>32</v>
      </c>
      <c r="C483">
        <v>28.93</v>
      </c>
      <c r="D483">
        <v>0</v>
      </c>
      <c r="E483">
        <f t="shared" si="7"/>
        <v>0</v>
      </c>
      <c r="F483">
        <v>3972.9247</v>
      </c>
      <c r="G483" t="s">
        <v>12</v>
      </c>
      <c r="H483" t="s">
        <v>11</v>
      </c>
      <c r="I483" t="s">
        <v>7</v>
      </c>
      <c r="J483">
        <f>_xlfn.XLOOKUP(C483,dim_BMI!$C$2:$C$7,dim_BMI!$A$2:$A$7,,1)</f>
        <v>3</v>
      </c>
      <c r="K483" t="str">
        <f>_xlfn.XLOOKUP(C483,dim_BMI!$C$2:$C$7,dim_BMI!$B$2:$B$7,,1)</f>
        <v>25.0 to 29.9 (Overweight)</v>
      </c>
    </row>
    <row r="484" spans="1:11" x14ac:dyDescent="0.25">
      <c r="A484" s="1">
        <v>584</v>
      </c>
      <c r="B484">
        <v>32</v>
      </c>
      <c r="C484">
        <v>23.65</v>
      </c>
      <c r="D484">
        <v>1</v>
      </c>
      <c r="E484">
        <f t="shared" si="7"/>
        <v>0</v>
      </c>
      <c r="F484">
        <v>17626.239509999999</v>
      </c>
      <c r="G484" t="s">
        <v>12</v>
      </c>
      <c r="H484" t="s">
        <v>11</v>
      </c>
      <c r="I484" t="s">
        <v>7</v>
      </c>
      <c r="J484">
        <f>_xlfn.XLOOKUP(C484,dim_BMI!$C$2:$C$7,dim_BMI!$A$2:$A$7,,1)</f>
        <v>2</v>
      </c>
      <c r="K484" t="str">
        <f>_xlfn.XLOOKUP(C484,dim_BMI!$C$2:$C$7,dim_BMI!$B$2:$B$7,,1)</f>
        <v>18.5 to 24.9 (Healthy Weight)</v>
      </c>
    </row>
    <row r="485" spans="1:11" x14ac:dyDescent="0.25">
      <c r="A485" s="1">
        <v>663</v>
      </c>
      <c r="B485">
        <v>32</v>
      </c>
      <c r="C485">
        <v>31.54</v>
      </c>
      <c r="D485">
        <v>1</v>
      </c>
      <c r="E485">
        <f t="shared" si="7"/>
        <v>0</v>
      </c>
      <c r="F485">
        <v>5148.5526</v>
      </c>
      <c r="G485" t="s">
        <v>14</v>
      </c>
      <c r="H485" t="s">
        <v>11</v>
      </c>
      <c r="I485" t="s">
        <v>7</v>
      </c>
      <c r="J485">
        <f>_xlfn.XLOOKUP(C485,dim_BMI!$C$2:$C$7,dim_BMI!$A$2:$A$7,,1)</f>
        <v>4</v>
      </c>
      <c r="K485" t="str">
        <f>_xlfn.XLOOKUP(C485,dim_BMI!$C$2:$C$7,dim_BMI!$B$2:$B$7,,1)</f>
        <v>30.0 to 34.9 (Obesity Class 1)</v>
      </c>
    </row>
    <row r="486" spans="1:11" x14ac:dyDescent="0.25">
      <c r="A486" s="1">
        <v>886</v>
      </c>
      <c r="B486">
        <v>32</v>
      </c>
      <c r="C486">
        <v>28.93</v>
      </c>
      <c r="D486">
        <v>1</v>
      </c>
      <c r="E486">
        <f t="shared" si="7"/>
        <v>1</v>
      </c>
      <c r="F486">
        <v>19719.6947</v>
      </c>
      <c r="G486" t="s">
        <v>12</v>
      </c>
      <c r="H486" t="s">
        <v>8</v>
      </c>
      <c r="I486" t="s">
        <v>10</v>
      </c>
      <c r="J486">
        <f>_xlfn.XLOOKUP(C486,dim_BMI!$C$2:$C$7,dim_BMI!$A$2:$A$7,,1)</f>
        <v>3</v>
      </c>
      <c r="K486" t="str">
        <f>_xlfn.XLOOKUP(C486,dim_BMI!$C$2:$C$7,dim_BMI!$B$2:$B$7,,1)</f>
        <v>25.0 to 29.9 (Overweight)</v>
      </c>
    </row>
    <row r="487" spans="1:11" x14ac:dyDescent="0.25">
      <c r="A487" s="1">
        <v>910</v>
      </c>
      <c r="B487">
        <v>32</v>
      </c>
      <c r="C487">
        <v>24.6</v>
      </c>
      <c r="D487">
        <v>0</v>
      </c>
      <c r="E487">
        <f t="shared" si="7"/>
        <v>1</v>
      </c>
      <c r="F487">
        <v>17496.306</v>
      </c>
      <c r="G487" t="s">
        <v>9</v>
      </c>
      <c r="H487" t="s">
        <v>8</v>
      </c>
      <c r="I487" t="s">
        <v>7</v>
      </c>
      <c r="J487">
        <f>_xlfn.XLOOKUP(C487,dim_BMI!$C$2:$C$7,dim_BMI!$A$2:$A$7,,1)</f>
        <v>2</v>
      </c>
      <c r="K487" t="str">
        <f>_xlfn.XLOOKUP(C487,dim_BMI!$C$2:$C$7,dim_BMI!$B$2:$B$7,,1)</f>
        <v>18.5 to 24.9 (Healthy Weight)</v>
      </c>
    </row>
    <row r="488" spans="1:11" x14ac:dyDescent="0.25">
      <c r="A488" s="1">
        <v>935</v>
      </c>
      <c r="B488">
        <v>32</v>
      </c>
      <c r="C488">
        <v>37.18</v>
      </c>
      <c r="D488">
        <v>2</v>
      </c>
      <c r="E488">
        <f t="shared" si="7"/>
        <v>0</v>
      </c>
      <c r="F488">
        <v>4673.3922000000002</v>
      </c>
      <c r="G488" t="s">
        <v>12</v>
      </c>
      <c r="H488" t="s">
        <v>11</v>
      </c>
      <c r="I488" t="s">
        <v>10</v>
      </c>
      <c r="J488">
        <f>_xlfn.XLOOKUP(C488,dim_BMI!$C$2:$C$7,dim_BMI!$A$2:$A$7,,1)</f>
        <v>5</v>
      </c>
      <c r="K488" t="str">
        <f>_xlfn.XLOOKUP(C488,dim_BMI!$C$2:$C$7,dim_BMI!$B$2:$B$7,,1)</f>
        <v>35 to 39.9 (Obesity Class 2)</v>
      </c>
    </row>
    <row r="489" spans="1:11" x14ac:dyDescent="0.25">
      <c r="A489" s="1">
        <v>1060</v>
      </c>
      <c r="B489">
        <v>32</v>
      </c>
      <c r="C489">
        <v>33.82</v>
      </c>
      <c r="D489">
        <v>1</v>
      </c>
      <c r="E489">
        <f t="shared" si="7"/>
        <v>0</v>
      </c>
      <c r="F489">
        <v>4462.7218000000003</v>
      </c>
      <c r="G489" t="s">
        <v>13</v>
      </c>
      <c r="H489" t="s">
        <v>11</v>
      </c>
      <c r="I489" t="s">
        <v>10</v>
      </c>
      <c r="J489">
        <f>_xlfn.XLOOKUP(C489,dim_BMI!$C$2:$C$7,dim_BMI!$A$2:$A$7,,1)</f>
        <v>4</v>
      </c>
      <c r="K489" t="str">
        <f>_xlfn.XLOOKUP(C489,dim_BMI!$C$2:$C$7,dim_BMI!$B$2:$B$7,,1)</f>
        <v>30.0 to 34.9 (Obesity Class 1)</v>
      </c>
    </row>
    <row r="490" spans="1:11" x14ac:dyDescent="0.25">
      <c r="A490" s="1">
        <v>1076</v>
      </c>
      <c r="B490">
        <v>32</v>
      </c>
      <c r="C490">
        <v>29.59</v>
      </c>
      <c r="D490">
        <v>1</v>
      </c>
      <c r="E490">
        <f t="shared" si="7"/>
        <v>0</v>
      </c>
      <c r="F490">
        <v>4562.8420999999998</v>
      </c>
      <c r="G490" t="s">
        <v>12</v>
      </c>
      <c r="H490" t="s">
        <v>11</v>
      </c>
      <c r="I490" t="s">
        <v>7</v>
      </c>
      <c r="J490">
        <f>_xlfn.XLOOKUP(C490,dim_BMI!$C$2:$C$7,dim_BMI!$A$2:$A$7,,1)</f>
        <v>3</v>
      </c>
      <c r="K490" t="str">
        <f>_xlfn.XLOOKUP(C490,dim_BMI!$C$2:$C$7,dim_BMI!$B$2:$B$7,,1)</f>
        <v>25.0 to 29.9 (Overweight)</v>
      </c>
    </row>
    <row r="491" spans="1:11" x14ac:dyDescent="0.25">
      <c r="A491" s="1">
        <v>1082</v>
      </c>
      <c r="B491">
        <v>32</v>
      </c>
      <c r="C491">
        <v>27.835000000000001</v>
      </c>
      <c r="D491">
        <v>1</v>
      </c>
      <c r="E491">
        <f t="shared" si="7"/>
        <v>0</v>
      </c>
      <c r="F491">
        <v>4454.40265</v>
      </c>
      <c r="G491" t="s">
        <v>13</v>
      </c>
      <c r="H491" t="s">
        <v>11</v>
      </c>
      <c r="I491" t="s">
        <v>10</v>
      </c>
      <c r="J491">
        <f>_xlfn.XLOOKUP(C491,dim_BMI!$C$2:$C$7,dim_BMI!$A$2:$A$7,,1)</f>
        <v>3</v>
      </c>
      <c r="K491" t="str">
        <f>_xlfn.XLOOKUP(C491,dim_BMI!$C$2:$C$7,dim_BMI!$B$2:$B$7,,1)</f>
        <v>25.0 to 29.9 (Overweight)</v>
      </c>
    </row>
    <row r="492" spans="1:11" x14ac:dyDescent="0.25">
      <c r="A492" s="1">
        <v>1084</v>
      </c>
      <c r="B492">
        <v>32</v>
      </c>
      <c r="C492">
        <v>31.5</v>
      </c>
      <c r="D492">
        <v>1</v>
      </c>
      <c r="E492">
        <f t="shared" si="7"/>
        <v>0</v>
      </c>
      <c r="F492">
        <v>4076.4969999999998</v>
      </c>
      <c r="G492" t="s">
        <v>9</v>
      </c>
      <c r="H492" t="s">
        <v>11</v>
      </c>
      <c r="I492" t="s">
        <v>10</v>
      </c>
      <c r="J492">
        <f>_xlfn.XLOOKUP(C492,dim_BMI!$C$2:$C$7,dim_BMI!$A$2:$A$7,,1)</f>
        <v>4</v>
      </c>
      <c r="K492" t="str">
        <f>_xlfn.XLOOKUP(C492,dim_BMI!$C$2:$C$7,dim_BMI!$B$2:$B$7,,1)</f>
        <v>30.0 to 34.9 (Obesity Class 1)</v>
      </c>
    </row>
    <row r="493" spans="1:11" x14ac:dyDescent="0.25">
      <c r="A493" s="1">
        <v>1160</v>
      </c>
      <c r="B493">
        <v>32</v>
      </c>
      <c r="C493">
        <v>41.1</v>
      </c>
      <c r="D493">
        <v>0</v>
      </c>
      <c r="E493">
        <f t="shared" si="7"/>
        <v>0</v>
      </c>
      <c r="F493">
        <v>3989.8409999999999</v>
      </c>
      <c r="G493" t="s">
        <v>9</v>
      </c>
      <c r="H493" t="s">
        <v>11</v>
      </c>
      <c r="I493" t="s">
        <v>7</v>
      </c>
      <c r="J493">
        <f>_xlfn.XLOOKUP(C493,dim_BMI!$C$2:$C$7,dim_BMI!$A$2:$A$7,,1)</f>
        <v>6</v>
      </c>
      <c r="K493" t="str">
        <f>_xlfn.XLOOKUP(C493,dim_BMI!$C$2:$C$7,dim_BMI!$B$2:$B$7,,1)</f>
        <v>40 or higher (Severe Obesity Class 3)</v>
      </c>
    </row>
    <row r="494" spans="1:11" x14ac:dyDescent="0.25">
      <c r="A494" s="1">
        <v>1169</v>
      </c>
      <c r="B494">
        <v>32</v>
      </c>
      <c r="C494">
        <v>35.200000000000003</v>
      </c>
      <c r="D494">
        <v>2</v>
      </c>
      <c r="E494">
        <f t="shared" si="7"/>
        <v>0</v>
      </c>
      <c r="F494">
        <v>4670.6400000000003</v>
      </c>
      <c r="G494" t="s">
        <v>9</v>
      </c>
      <c r="H494" t="s">
        <v>11</v>
      </c>
      <c r="I494" t="s">
        <v>10</v>
      </c>
      <c r="J494">
        <f>_xlfn.XLOOKUP(C494,dim_BMI!$C$2:$C$7,dim_BMI!$A$2:$A$7,,1)</f>
        <v>5</v>
      </c>
      <c r="K494" t="str">
        <f>_xlfn.XLOOKUP(C494,dim_BMI!$C$2:$C$7,dim_BMI!$B$2:$B$7,,1)</f>
        <v>35 to 39.9 (Obesity Class 2)</v>
      </c>
    </row>
    <row r="495" spans="1:11" x14ac:dyDescent="0.25">
      <c r="A495" s="1">
        <v>1250</v>
      </c>
      <c r="B495">
        <v>32</v>
      </c>
      <c r="C495">
        <v>33.630000000000003</v>
      </c>
      <c r="D495">
        <v>1</v>
      </c>
      <c r="E495">
        <f t="shared" si="7"/>
        <v>1</v>
      </c>
      <c r="F495">
        <v>37607.527699999999</v>
      </c>
      <c r="G495" t="s">
        <v>14</v>
      </c>
      <c r="H495" t="s">
        <v>8</v>
      </c>
      <c r="I495" t="s">
        <v>10</v>
      </c>
      <c r="J495">
        <f>_xlfn.XLOOKUP(C495,dim_BMI!$C$2:$C$7,dim_BMI!$A$2:$A$7,,1)</f>
        <v>4</v>
      </c>
      <c r="K495" t="str">
        <f>_xlfn.XLOOKUP(C495,dim_BMI!$C$2:$C$7,dim_BMI!$B$2:$B$7,,1)</f>
        <v>30.0 to 34.9 (Obesity Class 1)</v>
      </c>
    </row>
    <row r="496" spans="1:11" x14ac:dyDescent="0.25">
      <c r="A496" s="1">
        <v>1261</v>
      </c>
      <c r="B496">
        <v>32</v>
      </c>
      <c r="C496">
        <v>20.52</v>
      </c>
      <c r="D496">
        <v>0</v>
      </c>
      <c r="E496">
        <f t="shared" si="7"/>
        <v>0</v>
      </c>
      <c r="F496">
        <v>4544.2348000000002</v>
      </c>
      <c r="G496" t="s">
        <v>14</v>
      </c>
      <c r="H496" t="s">
        <v>11</v>
      </c>
      <c r="I496" t="s">
        <v>7</v>
      </c>
      <c r="J496">
        <f>_xlfn.XLOOKUP(C496,dim_BMI!$C$2:$C$7,dim_BMI!$A$2:$A$7,,1)</f>
        <v>2</v>
      </c>
      <c r="K496" t="str">
        <f>_xlfn.XLOOKUP(C496,dim_BMI!$C$2:$C$7,dim_BMI!$B$2:$B$7,,1)</f>
        <v>18.5 to 24.9 (Healthy Weight)</v>
      </c>
    </row>
    <row r="497" spans="1:11" x14ac:dyDescent="0.25">
      <c r="A497" s="1">
        <v>1278</v>
      </c>
      <c r="B497">
        <v>32</v>
      </c>
      <c r="C497">
        <v>29.734999999999999</v>
      </c>
      <c r="D497">
        <v>0</v>
      </c>
      <c r="E497">
        <f t="shared" si="7"/>
        <v>0</v>
      </c>
      <c r="F497">
        <v>4357.0436499999996</v>
      </c>
      <c r="G497" t="s">
        <v>13</v>
      </c>
      <c r="H497" t="s">
        <v>11</v>
      </c>
      <c r="I497" t="s">
        <v>7</v>
      </c>
      <c r="J497">
        <f>_xlfn.XLOOKUP(C497,dim_BMI!$C$2:$C$7,dim_BMI!$A$2:$A$7,,1)</f>
        <v>3</v>
      </c>
      <c r="K497" t="str">
        <f>_xlfn.XLOOKUP(C497,dim_BMI!$C$2:$C$7,dim_BMI!$B$2:$B$7,,1)</f>
        <v>25.0 to 29.9 (Overweight)</v>
      </c>
    </row>
    <row r="498" spans="1:11" x14ac:dyDescent="0.25">
      <c r="A498" s="1">
        <v>1308</v>
      </c>
      <c r="B498">
        <v>32</v>
      </c>
      <c r="C498">
        <v>28.12</v>
      </c>
      <c r="D498">
        <v>4</v>
      </c>
      <c r="E498">
        <f t="shared" si="7"/>
        <v>1</v>
      </c>
      <c r="F498">
        <v>21472.478800000001</v>
      </c>
      <c r="G498" t="s">
        <v>13</v>
      </c>
      <c r="H498" t="s">
        <v>8</v>
      </c>
      <c r="I498" t="s">
        <v>10</v>
      </c>
      <c r="J498">
        <f>_xlfn.XLOOKUP(C498,dim_BMI!$C$2:$C$7,dim_BMI!$A$2:$A$7,,1)</f>
        <v>3</v>
      </c>
      <c r="K498" t="str">
        <f>_xlfn.XLOOKUP(C498,dim_BMI!$C$2:$C$7,dim_BMI!$B$2:$B$7,,1)</f>
        <v>25.0 to 29.9 (Overweight)</v>
      </c>
    </row>
    <row r="499" spans="1:11" x14ac:dyDescent="0.25">
      <c r="A499" s="1">
        <v>4</v>
      </c>
      <c r="B499">
        <v>33</v>
      </c>
      <c r="C499">
        <v>22.704999999999998</v>
      </c>
      <c r="D499">
        <v>0</v>
      </c>
      <c r="E499">
        <f t="shared" si="7"/>
        <v>0</v>
      </c>
      <c r="F499">
        <v>21984.47061</v>
      </c>
      <c r="G499" t="s">
        <v>13</v>
      </c>
      <c r="H499" t="s">
        <v>11</v>
      </c>
      <c r="I499" t="s">
        <v>10</v>
      </c>
      <c r="J499">
        <f>_xlfn.XLOOKUP(C499,dim_BMI!$C$2:$C$7,dim_BMI!$A$2:$A$7,,1)</f>
        <v>2</v>
      </c>
      <c r="K499" t="str">
        <f>_xlfn.XLOOKUP(C499,dim_BMI!$C$2:$C$7,dim_BMI!$B$2:$B$7,,1)</f>
        <v>18.5 to 24.9 (Healthy Weight)</v>
      </c>
    </row>
    <row r="500" spans="1:11" x14ac:dyDescent="0.25">
      <c r="A500" s="1">
        <v>242</v>
      </c>
      <c r="B500">
        <v>33</v>
      </c>
      <c r="C500">
        <v>22.135000000000002</v>
      </c>
      <c r="D500">
        <v>1</v>
      </c>
      <c r="E500">
        <f t="shared" si="7"/>
        <v>0</v>
      </c>
      <c r="F500">
        <v>5354.0746499999996</v>
      </c>
      <c r="G500" t="s">
        <v>14</v>
      </c>
      <c r="H500" t="s">
        <v>11</v>
      </c>
      <c r="I500" t="s">
        <v>7</v>
      </c>
      <c r="J500">
        <f>_xlfn.XLOOKUP(C500,dim_BMI!$C$2:$C$7,dim_BMI!$A$2:$A$7,,1)</f>
        <v>2</v>
      </c>
      <c r="K500" t="str">
        <f>_xlfn.XLOOKUP(C500,dim_BMI!$C$2:$C$7,dim_BMI!$B$2:$B$7,,1)</f>
        <v>18.5 to 24.9 (Healthy Weight)</v>
      </c>
    </row>
    <row r="501" spans="1:11" x14ac:dyDescent="0.25">
      <c r="A501" s="1">
        <v>347</v>
      </c>
      <c r="B501">
        <v>33</v>
      </c>
      <c r="C501">
        <v>35.75</v>
      </c>
      <c r="D501">
        <v>2</v>
      </c>
      <c r="E501">
        <f t="shared" si="7"/>
        <v>0</v>
      </c>
      <c r="F501">
        <v>4889.9994999999999</v>
      </c>
      <c r="G501" t="s">
        <v>12</v>
      </c>
      <c r="H501" t="s">
        <v>11</v>
      </c>
      <c r="I501" t="s">
        <v>10</v>
      </c>
      <c r="J501">
        <f>_xlfn.XLOOKUP(C501,dim_BMI!$C$2:$C$7,dim_BMI!$A$2:$A$7,,1)</f>
        <v>5</v>
      </c>
      <c r="K501" t="str">
        <f>_xlfn.XLOOKUP(C501,dim_BMI!$C$2:$C$7,dim_BMI!$B$2:$B$7,,1)</f>
        <v>35 to 39.9 (Obesity Class 2)</v>
      </c>
    </row>
    <row r="502" spans="1:11" x14ac:dyDescent="0.25">
      <c r="A502" s="1">
        <v>354</v>
      </c>
      <c r="B502">
        <v>33</v>
      </c>
      <c r="C502">
        <v>35.244999999999997</v>
      </c>
      <c r="D502">
        <v>0</v>
      </c>
      <c r="E502">
        <f t="shared" si="7"/>
        <v>0</v>
      </c>
      <c r="F502">
        <v>12404.8791</v>
      </c>
      <c r="G502" t="s">
        <v>14</v>
      </c>
      <c r="H502" t="s">
        <v>11</v>
      </c>
      <c r="I502" t="s">
        <v>10</v>
      </c>
      <c r="J502">
        <f>_xlfn.XLOOKUP(C502,dim_BMI!$C$2:$C$7,dim_BMI!$A$2:$A$7,,1)</f>
        <v>5</v>
      </c>
      <c r="K502" t="str">
        <f>_xlfn.XLOOKUP(C502,dim_BMI!$C$2:$C$7,dim_BMI!$B$2:$B$7,,1)</f>
        <v>35 to 39.9 (Obesity Class 2)</v>
      </c>
    </row>
    <row r="503" spans="1:11" x14ac:dyDescent="0.25">
      <c r="A503" s="1">
        <v>407</v>
      </c>
      <c r="B503">
        <v>33</v>
      </c>
      <c r="C503">
        <v>24.31</v>
      </c>
      <c r="D503">
        <v>0</v>
      </c>
      <c r="E503">
        <f t="shared" si="7"/>
        <v>0</v>
      </c>
      <c r="F503">
        <v>4185.0978999999998</v>
      </c>
      <c r="G503" t="s">
        <v>12</v>
      </c>
      <c r="H503" t="s">
        <v>11</v>
      </c>
      <c r="I503" t="s">
        <v>7</v>
      </c>
      <c r="J503">
        <f>_xlfn.XLOOKUP(C503,dim_BMI!$C$2:$C$7,dim_BMI!$A$2:$A$7,,1)</f>
        <v>2</v>
      </c>
      <c r="K503" t="str">
        <f>_xlfn.XLOOKUP(C503,dim_BMI!$C$2:$C$7,dim_BMI!$B$2:$B$7,,1)</f>
        <v>18.5 to 24.9 (Healthy Weight)</v>
      </c>
    </row>
    <row r="504" spans="1:11" x14ac:dyDescent="0.25">
      <c r="A504" s="1">
        <v>442</v>
      </c>
      <c r="B504">
        <v>33</v>
      </c>
      <c r="C504">
        <v>33.5</v>
      </c>
      <c r="D504">
        <v>0</v>
      </c>
      <c r="E504">
        <f t="shared" si="7"/>
        <v>1</v>
      </c>
      <c r="F504">
        <v>37079.372000000003</v>
      </c>
      <c r="G504" t="s">
        <v>9</v>
      </c>
      <c r="H504" t="s">
        <v>8</v>
      </c>
      <c r="I504" t="s">
        <v>7</v>
      </c>
      <c r="J504">
        <f>_xlfn.XLOOKUP(C504,dim_BMI!$C$2:$C$7,dim_BMI!$A$2:$A$7,,1)</f>
        <v>4</v>
      </c>
      <c r="K504" t="str">
        <f>_xlfn.XLOOKUP(C504,dim_BMI!$C$2:$C$7,dim_BMI!$B$2:$B$7,,1)</f>
        <v>30.0 to 34.9 (Obesity Class 1)</v>
      </c>
    </row>
    <row r="505" spans="1:11" x14ac:dyDescent="0.25">
      <c r="A505" s="1">
        <v>537</v>
      </c>
      <c r="B505">
        <v>33</v>
      </c>
      <c r="C505">
        <v>38.9</v>
      </c>
      <c r="D505">
        <v>3</v>
      </c>
      <c r="E505">
        <f t="shared" si="7"/>
        <v>0</v>
      </c>
      <c r="F505">
        <v>5972.3779999999997</v>
      </c>
      <c r="G505" t="s">
        <v>9</v>
      </c>
      <c r="H505" t="s">
        <v>11</v>
      </c>
      <c r="I505" t="s">
        <v>7</v>
      </c>
      <c r="J505">
        <f>_xlfn.XLOOKUP(C505,dim_BMI!$C$2:$C$7,dim_BMI!$A$2:$A$7,,1)</f>
        <v>5</v>
      </c>
      <c r="K505" t="str">
        <f>_xlfn.XLOOKUP(C505,dim_BMI!$C$2:$C$7,dim_BMI!$B$2:$B$7,,1)</f>
        <v>35 to 39.9 (Obesity Class 2)</v>
      </c>
    </row>
    <row r="506" spans="1:11" x14ac:dyDescent="0.25">
      <c r="A506" s="1">
        <v>586</v>
      </c>
      <c r="B506">
        <v>33</v>
      </c>
      <c r="C506">
        <v>28.27</v>
      </c>
      <c r="D506">
        <v>1</v>
      </c>
      <c r="E506">
        <f t="shared" si="7"/>
        <v>0</v>
      </c>
      <c r="F506">
        <v>4779.6022999999996</v>
      </c>
      <c r="G506" t="s">
        <v>12</v>
      </c>
      <c r="H506" t="s">
        <v>11</v>
      </c>
      <c r="I506" t="s">
        <v>7</v>
      </c>
      <c r="J506">
        <f>_xlfn.XLOOKUP(C506,dim_BMI!$C$2:$C$7,dim_BMI!$A$2:$A$7,,1)</f>
        <v>3</v>
      </c>
      <c r="K506" t="str">
        <f>_xlfn.XLOOKUP(C506,dim_BMI!$C$2:$C$7,dim_BMI!$B$2:$B$7,,1)</f>
        <v>25.0 to 29.9 (Overweight)</v>
      </c>
    </row>
    <row r="507" spans="1:11" x14ac:dyDescent="0.25">
      <c r="A507" s="1">
        <v>628</v>
      </c>
      <c r="B507">
        <v>33</v>
      </c>
      <c r="C507">
        <v>42.46</v>
      </c>
      <c r="D507">
        <v>1</v>
      </c>
      <c r="E507">
        <f t="shared" si="7"/>
        <v>0</v>
      </c>
      <c r="F507">
        <v>11326.71487</v>
      </c>
      <c r="G507" t="s">
        <v>12</v>
      </c>
      <c r="H507" t="s">
        <v>11</v>
      </c>
      <c r="I507" t="s">
        <v>10</v>
      </c>
      <c r="J507">
        <f>_xlfn.XLOOKUP(C507,dim_BMI!$C$2:$C$7,dim_BMI!$A$2:$A$7,,1)</f>
        <v>6</v>
      </c>
      <c r="K507" t="str">
        <f>_xlfn.XLOOKUP(C507,dim_BMI!$C$2:$C$7,dim_BMI!$B$2:$B$7,,1)</f>
        <v>40 or higher (Severe Obesity Class 3)</v>
      </c>
    </row>
    <row r="508" spans="1:11" x14ac:dyDescent="0.25">
      <c r="A508" s="1">
        <v>641</v>
      </c>
      <c r="B508">
        <v>33</v>
      </c>
      <c r="C508">
        <v>42.4</v>
      </c>
      <c r="D508">
        <v>5</v>
      </c>
      <c r="E508">
        <f t="shared" si="7"/>
        <v>0</v>
      </c>
      <c r="F508">
        <v>6666.2430000000004</v>
      </c>
      <c r="G508" t="s">
        <v>9</v>
      </c>
      <c r="H508" t="s">
        <v>11</v>
      </c>
      <c r="I508" t="s">
        <v>10</v>
      </c>
      <c r="J508">
        <f>_xlfn.XLOOKUP(C508,dim_BMI!$C$2:$C$7,dim_BMI!$A$2:$A$7,,1)</f>
        <v>6</v>
      </c>
      <c r="K508" t="str">
        <f>_xlfn.XLOOKUP(C508,dim_BMI!$C$2:$C$7,dim_BMI!$B$2:$B$7,,1)</f>
        <v>40 or higher (Severe Obesity Class 3)</v>
      </c>
    </row>
    <row r="509" spans="1:11" x14ac:dyDescent="0.25">
      <c r="A509" s="1">
        <v>685</v>
      </c>
      <c r="B509">
        <v>33</v>
      </c>
      <c r="C509">
        <v>18.5</v>
      </c>
      <c r="D509">
        <v>1</v>
      </c>
      <c r="E509">
        <f t="shared" si="7"/>
        <v>0</v>
      </c>
      <c r="F509">
        <v>4766.0219999999999</v>
      </c>
      <c r="G509" t="s">
        <v>9</v>
      </c>
      <c r="H509" t="s">
        <v>11</v>
      </c>
      <c r="I509" t="s">
        <v>7</v>
      </c>
      <c r="J509">
        <f>_xlfn.XLOOKUP(C509,dim_BMI!$C$2:$C$7,dim_BMI!$A$2:$A$7,,1)</f>
        <v>2</v>
      </c>
      <c r="K509" t="str">
        <f>_xlfn.XLOOKUP(C509,dim_BMI!$C$2:$C$7,dim_BMI!$B$2:$B$7,,1)</f>
        <v>18.5 to 24.9 (Healthy Weight)</v>
      </c>
    </row>
    <row r="510" spans="1:11" x14ac:dyDescent="0.25">
      <c r="A510" s="1">
        <v>706</v>
      </c>
      <c r="B510">
        <v>33</v>
      </c>
      <c r="C510">
        <v>32.9</v>
      </c>
      <c r="D510">
        <v>2</v>
      </c>
      <c r="E510">
        <f t="shared" si="7"/>
        <v>0</v>
      </c>
      <c r="F510">
        <v>5375.0379999999996</v>
      </c>
      <c r="G510" t="s">
        <v>9</v>
      </c>
      <c r="H510" t="s">
        <v>11</v>
      </c>
      <c r="I510" t="s">
        <v>7</v>
      </c>
      <c r="J510">
        <f>_xlfn.XLOOKUP(C510,dim_BMI!$C$2:$C$7,dim_BMI!$A$2:$A$7,,1)</f>
        <v>4</v>
      </c>
      <c r="K510" t="str">
        <f>_xlfn.XLOOKUP(C510,dim_BMI!$C$2:$C$7,dim_BMI!$B$2:$B$7,,1)</f>
        <v>30.0 to 34.9 (Obesity Class 1)</v>
      </c>
    </row>
    <row r="511" spans="1:11" x14ac:dyDescent="0.25">
      <c r="A511" s="1">
        <v>763</v>
      </c>
      <c r="B511">
        <v>33</v>
      </c>
      <c r="C511">
        <v>27.1</v>
      </c>
      <c r="D511">
        <v>1</v>
      </c>
      <c r="E511">
        <f t="shared" si="7"/>
        <v>1</v>
      </c>
      <c r="F511">
        <v>19040.876</v>
      </c>
      <c r="G511" t="s">
        <v>9</v>
      </c>
      <c r="H511" t="s">
        <v>8</v>
      </c>
      <c r="I511" t="s">
        <v>10</v>
      </c>
      <c r="J511">
        <f>_xlfn.XLOOKUP(C511,dim_BMI!$C$2:$C$7,dim_BMI!$A$2:$A$7,,1)</f>
        <v>3</v>
      </c>
      <c r="K511" t="str">
        <f>_xlfn.XLOOKUP(C511,dim_BMI!$C$2:$C$7,dim_BMI!$B$2:$B$7,,1)</f>
        <v>25.0 to 29.9 (Overweight)</v>
      </c>
    </row>
    <row r="512" spans="1:11" x14ac:dyDescent="0.25">
      <c r="A512" s="1">
        <v>800</v>
      </c>
      <c r="B512">
        <v>33</v>
      </c>
      <c r="C512">
        <v>24.795000000000002</v>
      </c>
      <c r="D512">
        <v>0</v>
      </c>
      <c r="E512">
        <f t="shared" si="7"/>
        <v>1</v>
      </c>
      <c r="F512">
        <v>17904.527050000001</v>
      </c>
      <c r="G512" t="s">
        <v>14</v>
      </c>
      <c r="H512" t="s">
        <v>8</v>
      </c>
      <c r="I512" t="s">
        <v>10</v>
      </c>
      <c r="J512">
        <f>_xlfn.XLOOKUP(C512,dim_BMI!$C$2:$C$7,dim_BMI!$A$2:$A$7,,1)</f>
        <v>2</v>
      </c>
      <c r="K512" t="str">
        <f>_xlfn.XLOOKUP(C512,dim_BMI!$C$2:$C$7,dim_BMI!$B$2:$B$7,,1)</f>
        <v>18.5 to 24.9 (Healthy Weight)</v>
      </c>
    </row>
    <row r="513" spans="1:11" x14ac:dyDescent="0.25">
      <c r="A513" s="1">
        <v>812</v>
      </c>
      <c r="B513">
        <v>33</v>
      </c>
      <c r="C513">
        <v>42.94</v>
      </c>
      <c r="D513">
        <v>3</v>
      </c>
      <c r="E513">
        <f t="shared" si="7"/>
        <v>0</v>
      </c>
      <c r="F513">
        <v>6360.9935999999998</v>
      </c>
      <c r="G513" t="s">
        <v>13</v>
      </c>
      <c r="H513" t="s">
        <v>11</v>
      </c>
      <c r="I513" t="s">
        <v>7</v>
      </c>
      <c r="J513">
        <f>_xlfn.XLOOKUP(C513,dim_BMI!$C$2:$C$7,dim_BMI!$A$2:$A$7,,1)</f>
        <v>6</v>
      </c>
      <c r="K513" t="str">
        <f>_xlfn.XLOOKUP(C513,dim_BMI!$C$2:$C$7,dim_BMI!$B$2:$B$7,,1)</f>
        <v>40 or higher (Severe Obesity Class 3)</v>
      </c>
    </row>
    <row r="514" spans="1:11" x14ac:dyDescent="0.25">
      <c r="A514" s="1">
        <v>820</v>
      </c>
      <c r="B514">
        <v>33</v>
      </c>
      <c r="C514">
        <v>35.53</v>
      </c>
      <c r="D514">
        <v>0</v>
      </c>
      <c r="E514">
        <f t="shared" si="7"/>
        <v>1</v>
      </c>
      <c r="F514">
        <v>55135.402090000003</v>
      </c>
      <c r="G514" t="s">
        <v>13</v>
      </c>
      <c r="H514" t="s">
        <v>8</v>
      </c>
      <c r="I514" t="s">
        <v>7</v>
      </c>
      <c r="J514">
        <f>_xlfn.XLOOKUP(C514,dim_BMI!$C$2:$C$7,dim_BMI!$A$2:$A$7,,1)</f>
        <v>5</v>
      </c>
      <c r="K514" t="str">
        <f>_xlfn.XLOOKUP(C514,dim_BMI!$C$2:$C$7,dim_BMI!$B$2:$B$7,,1)</f>
        <v>35 to 39.9 (Obesity Class 2)</v>
      </c>
    </row>
    <row r="515" spans="1:11" x14ac:dyDescent="0.25">
      <c r="A515" s="1">
        <v>878</v>
      </c>
      <c r="B515">
        <v>33</v>
      </c>
      <c r="C515">
        <v>33.44</v>
      </c>
      <c r="D515">
        <v>5</v>
      </c>
      <c r="E515">
        <f t="shared" ref="E515:E578" si="8">IF(H515="yes",1,0)</f>
        <v>0</v>
      </c>
      <c r="F515">
        <v>6653.7885999999999</v>
      </c>
      <c r="G515" t="s">
        <v>12</v>
      </c>
      <c r="H515" t="s">
        <v>11</v>
      </c>
      <c r="I515" t="s">
        <v>10</v>
      </c>
      <c r="J515">
        <f>_xlfn.XLOOKUP(C515,dim_BMI!$C$2:$C$7,dim_BMI!$A$2:$A$7,,1)</f>
        <v>4</v>
      </c>
      <c r="K515" t="str">
        <f>_xlfn.XLOOKUP(C515,dim_BMI!$C$2:$C$7,dim_BMI!$B$2:$B$7,,1)</f>
        <v>30.0 to 34.9 (Obesity Class 1)</v>
      </c>
    </row>
    <row r="516" spans="1:11" x14ac:dyDescent="0.25">
      <c r="A516" s="1">
        <v>915</v>
      </c>
      <c r="B516">
        <v>33</v>
      </c>
      <c r="C516">
        <v>24.605</v>
      </c>
      <c r="D516">
        <v>2</v>
      </c>
      <c r="E516">
        <f t="shared" si="8"/>
        <v>0</v>
      </c>
      <c r="F516">
        <v>5257.5079500000002</v>
      </c>
      <c r="G516" t="s">
        <v>13</v>
      </c>
      <c r="H516" t="s">
        <v>11</v>
      </c>
      <c r="I516" t="s">
        <v>10</v>
      </c>
      <c r="J516">
        <f>_xlfn.XLOOKUP(C516,dim_BMI!$C$2:$C$7,dim_BMI!$A$2:$A$7,,1)</f>
        <v>2</v>
      </c>
      <c r="K516" t="str">
        <f>_xlfn.XLOOKUP(C516,dim_BMI!$C$2:$C$7,dim_BMI!$B$2:$B$7,,1)</f>
        <v>18.5 to 24.9 (Healthy Weight)</v>
      </c>
    </row>
    <row r="517" spans="1:11" x14ac:dyDescent="0.25">
      <c r="A517" s="1">
        <v>999</v>
      </c>
      <c r="B517">
        <v>33</v>
      </c>
      <c r="C517">
        <v>36.29</v>
      </c>
      <c r="D517">
        <v>3</v>
      </c>
      <c r="E517">
        <f t="shared" si="8"/>
        <v>0</v>
      </c>
      <c r="F517">
        <v>6551.7501000000002</v>
      </c>
      <c r="G517" t="s">
        <v>14</v>
      </c>
      <c r="H517" t="s">
        <v>11</v>
      </c>
      <c r="I517" t="s">
        <v>7</v>
      </c>
      <c r="J517">
        <f>_xlfn.XLOOKUP(C517,dim_BMI!$C$2:$C$7,dim_BMI!$A$2:$A$7,,1)</f>
        <v>5</v>
      </c>
      <c r="K517" t="str">
        <f>_xlfn.XLOOKUP(C517,dim_BMI!$C$2:$C$7,dim_BMI!$B$2:$B$7,,1)</f>
        <v>35 to 39.9 (Obesity Class 2)</v>
      </c>
    </row>
    <row r="518" spans="1:11" x14ac:dyDescent="0.25">
      <c r="A518" s="1">
        <v>1101</v>
      </c>
      <c r="B518">
        <v>33</v>
      </c>
      <c r="C518">
        <v>19.094999999999999</v>
      </c>
      <c r="D518">
        <v>2</v>
      </c>
      <c r="E518">
        <f t="shared" si="8"/>
        <v>1</v>
      </c>
      <c r="F518">
        <v>16776.304049999999</v>
      </c>
      <c r="G518" t="s">
        <v>14</v>
      </c>
      <c r="H518" t="s">
        <v>8</v>
      </c>
      <c r="I518" t="s">
        <v>7</v>
      </c>
      <c r="J518">
        <f>_xlfn.XLOOKUP(C518,dim_BMI!$C$2:$C$7,dim_BMI!$A$2:$A$7,,1)</f>
        <v>2</v>
      </c>
      <c r="K518" t="str">
        <f>_xlfn.XLOOKUP(C518,dim_BMI!$C$2:$C$7,dim_BMI!$B$2:$B$7,,1)</f>
        <v>18.5 to 24.9 (Healthy Weight)</v>
      </c>
    </row>
    <row r="519" spans="1:11" x14ac:dyDescent="0.25">
      <c r="A519" s="1">
        <v>1119</v>
      </c>
      <c r="B519">
        <v>33</v>
      </c>
      <c r="C519">
        <v>35.75</v>
      </c>
      <c r="D519">
        <v>1</v>
      </c>
      <c r="E519">
        <f t="shared" si="8"/>
        <v>1</v>
      </c>
      <c r="F519">
        <v>38282.749499999998</v>
      </c>
      <c r="G519" t="s">
        <v>12</v>
      </c>
      <c r="H519" t="s">
        <v>8</v>
      </c>
      <c r="I519" t="s">
        <v>10</v>
      </c>
      <c r="J519">
        <f>_xlfn.XLOOKUP(C519,dim_BMI!$C$2:$C$7,dim_BMI!$A$2:$A$7,,1)</f>
        <v>5</v>
      </c>
      <c r="K519" t="str">
        <f>_xlfn.XLOOKUP(C519,dim_BMI!$C$2:$C$7,dim_BMI!$B$2:$B$7,,1)</f>
        <v>35 to 39.9 (Obesity Class 2)</v>
      </c>
    </row>
    <row r="520" spans="1:11" x14ac:dyDescent="0.25">
      <c r="A520" s="1">
        <v>1139</v>
      </c>
      <c r="B520">
        <v>33</v>
      </c>
      <c r="C520">
        <v>30.25</v>
      </c>
      <c r="D520">
        <v>0</v>
      </c>
      <c r="E520">
        <f t="shared" si="8"/>
        <v>0</v>
      </c>
      <c r="F520">
        <v>3704.3544999999999</v>
      </c>
      <c r="G520" t="s">
        <v>12</v>
      </c>
      <c r="H520" t="s">
        <v>11</v>
      </c>
      <c r="I520" t="s">
        <v>10</v>
      </c>
      <c r="J520">
        <f>_xlfn.XLOOKUP(C520,dim_BMI!$C$2:$C$7,dim_BMI!$A$2:$A$7,,1)</f>
        <v>4</v>
      </c>
      <c r="K520" t="str">
        <f>_xlfn.XLOOKUP(C520,dim_BMI!$C$2:$C$7,dim_BMI!$B$2:$B$7,,1)</f>
        <v>30.0 to 34.9 (Obesity Class 1)</v>
      </c>
    </row>
    <row r="521" spans="1:11" x14ac:dyDescent="0.25">
      <c r="A521" s="1">
        <v>1226</v>
      </c>
      <c r="B521">
        <v>33</v>
      </c>
      <c r="C521">
        <v>39.82</v>
      </c>
      <c r="D521">
        <v>1</v>
      </c>
      <c r="E521">
        <f t="shared" si="8"/>
        <v>0</v>
      </c>
      <c r="F521">
        <v>4795.6567999999997</v>
      </c>
      <c r="G521" t="s">
        <v>12</v>
      </c>
      <c r="H521" t="s">
        <v>11</v>
      </c>
      <c r="I521" t="s">
        <v>7</v>
      </c>
      <c r="J521">
        <f>_xlfn.XLOOKUP(C521,dim_BMI!$C$2:$C$7,dim_BMI!$A$2:$A$7,,1)</f>
        <v>5</v>
      </c>
      <c r="K521" t="str">
        <f>_xlfn.XLOOKUP(C521,dim_BMI!$C$2:$C$7,dim_BMI!$B$2:$B$7,,1)</f>
        <v>35 to 39.9 (Obesity Class 2)</v>
      </c>
    </row>
    <row r="522" spans="1:11" x14ac:dyDescent="0.25">
      <c r="A522" s="1">
        <v>1248</v>
      </c>
      <c r="B522">
        <v>33</v>
      </c>
      <c r="C522">
        <v>29.4</v>
      </c>
      <c r="D522">
        <v>4</v>
      </c>
      <c r="E522">
        <f t="shared" si="8"/>
        <v>0</v>
      </c>
      <c r="F522">
        <v>6059.1729999999998</v>
      </c>
      <c r="G522" t="s">
        <v>9</v>
      </c>
      <c r="H522" t="s">
        <v>11</v>
      </c>
      <c r="I522" t="s">
        <v>10</v>
      </c>
      <c r="J522">
        <f>_xlfn.XLOOKUP(C522,dim_BMI!$C$2:$C$7,dim_BMI!$A$2:$A$7,,1)</f>
        <v>3</v>
      </c>
      <c r="K522" t="str">
        <f>_xlfn.XLOOKUP(C522,dim_BMI!$C$2:$C$7,dim_BMI!$B$2:$B$7,,1)</f>
        <v>25.0 to 29.9 (Overweight)</v>
      </c>
    </row>
    <row r="523" spans="1:11" x14ac:dyDescent="0.25">
      <c r="A523" s="1">
        <v>1299</v>
      </c>
      <c r="B523">
        <v>33</v>
      </c>
      <c r="C523">
        <v>27.454999999999998</v>
      </c>
      <c r="D523">
        <v>2</v>
      </c>
      <c r="E523">
        <f t="shared" si="8"/>
        <v>0</v>
      </c>
      <c r="F523">
        <v>5261.4694499999996</v>
      </c>
      <c r="G523" t="s">
        <v>13</v>
      </c>
      <c r="H523" t="s">
        <v>11</v>
      </c>
      <c r="I523" t="s">
        <v>10</v>
      </c>
      <c r="J523">
        <f>_xlfn.XLOOKUP(C523,dim_BMI!$C$2:$C$7,dim_BMI!$A$2:$A$7,,1)</f>
        <v>3</v>
      </c>
      <c r="K523" t="str">
        <f>_xlfn.XLOOKUP(C523,dim_BMI!$C$2:$C$7,dim_BMI!$B$2:$B$7,,1)</f>
        <v>25.0 to 29.9 (Overweight)</v>
      </c>
    </row>
    <row r="524" spans="1:11" x14ac:dyDescent="0.25">
      <c r="A524" s="1">
        <v>1312</v>
      </c>
      <c r="B524">
        <v>33</v>
      </c>
      <c r="C524">
        <v>26.695</v>
      </c>
      <c r="D524">
        <v>0</v>
      </c>
      <c r="E524">
        <f t="shared" si="8"/>
        <v>0</v>
      </c>
      <c r="F524">
        <v>4571.4130500000001</v>
      </c>
      <c r="G524" t="s">
        <v>13</v>
      </c>
      <c r="H524" t="s">
        <v>11</v>
      </c>
      <c r="I524" t="s">
        <v>7</v>
      </c>
      <c r="J524">
        <f>_xlfn.XLOOKUP(C524,dim_BMI!$C$2:$C$7,dim_BMI!$A$2:$A$7,,1)</f>
        <v>3</v>
      </c>
      <c r="K524" t="str">
        <f>_xlfn.XLOOKUP(C524,dim_BMI!$C$2:$C$7,dim_BMI!$B$2:$B$7,,1)</f>
        <v>25.0 to 29.9 (Overweight)</v>
      </c>
    </row>
    <row r="525" spans="1:11" x14ac:dyDescent="0.25">
      <c r="A525" s="1">
        <v>24</v>
      </c>
      <c r="B525">
        <v>34</v>
      </c>
      <c r="C525">
        <v>31.92</v>
      </c>
      <c r="D525">
        <v>1</v>
      </c>
      <c r="E525">
        <f t="shared" si="8"/>
        <v>1</v>
      </c>
      <c r="F525">
        <v>37701.876799999998</v>
      </c>
      <c r="G525" t="s">
        <v>14</v>
      </c>
      <c r="H525" t="s">
        <v>8</v>
      </c>
      <c r="I525" t="s">
        <v>7</v>
      </c>
      <c r="J525">
        <f>_xlfn.XLOOKUP(C525,dim_BMI!$C$2:$C$7,dim_BMI!$A$2:$A$7,,1)</f>
        <v>4</v>
      </c>
      <c r="K525" t="str">
        <f>_xlfn.XLOOKUP(C525,dim_BMI!$C$2:$C$7,dim_BMI!$B$2:$B$7,,1)</f>
        <v>30.0 to 34.9 (Obesity Class 1)</v>
      </c>
    </row>
    <row r="526" spans="1:11" x14ac:dyDescent="0.25">
      <c r="A526" s="1">
        <v>60</v>
      </c>
      <c r="B526">
        <v>34</v>
      </c>
      <c r="C526">
        <v>37.335000000000001</v>
      </c>
      <c r="D526">
        <v>2</v>
      </c>
      <c r="E526">
        <f t="shared" si="8"/>
        <v>0</v>
      </c>
      <c r="F526">
        <v>5989.5236500000001</v>
      </c>
      <c r="G526" t="s">
        <v>13</v>
      </c>
      <c r="H526" t="s">
        <v>11</v>
      </c>
      <c r="I526" t="s">
        <v>7</v>
      </c>
      <c r="J526">
        <f>_xlfn.XLOOKUP(C526,dim_BMI!$C$2:$C$7,dim_BMI!$A$2:$A$7,,1)</f>
        <v>5</v>
      </c>
      <c r="K526" t="str">
        <f>_xlfn.XLOOKUP(C526,dim_BMI!$C$2:$C$7,dim_BMI!$B$2:$B$7,,1)</f>
        <v>35 to 39.9 (Obesity Class 2)</v>
      </c>
    </row>
    <row r="527" spans="1:11" x14ac:dyDescent="0.25">
      <c r="A527" s="1">
        <v>105</v>
      </c>
      <c r="B527">
        <v>34</v>
      </c>
      <c r="C527">
        <v>27.5</v>
      </c>
      <c r="D527">
        <v>1</v>
      </c>
      <c r="E527">
        <f t="shared" si="8"/>
        <v>0</v>
      </c>
      <c r="F527">
        <v>5003.8530000000001</v>
      </c>
      <c r="G527" t="s">
        <v>9</v>
      </c>
      <c r="H527" t="s">
        <v>11</v>
      </c>
      <c r="I527" t="s">
        <v>7</v>
      </c>
      <c r="J527">
        <f>_xlfn.XLOOKUP(C527,dim_BMI!$C$2:$C$7,dim_BMI!$A$2:$A$7,,1)</f>
        <v>3</v>
      </c>
      <c r="K527" t="str">
        <f>_xlfn.XLOOKUP(C527,dim_BMI!$C$2:$C$7,dim_BMI!$B$2:$B$7,,1)</f>
        <v>25.0 to 29.9 (Overweight)</v>
      </c>
    </row>
    <row r="528" spans="1:11" x14ac:dyDescent="0.25">
      <c r="A528" s="1">
        <v>141</v>
      </c>
      <c r="B528">
        <v>34</v>
      </c>
      <c r="C528">
        <v>22.42</v>
      </c>
      <c r="D528">
        <v>2</v>
      </c>
      <c r="E528">
        <f t="shared" si="8"/>
        <v>0</v>
      </c>
      <c r="F528">
        <v>27375.904780000001</v>
      </c>
      <c r="G528" t="s">
        <v>14</v>
      </c>
      <c r="H528" t="s">
        <v>11</v>
      </c>
      <c r="I528" t="s">
        <v>10</v>
      </c>
      <c r="J528">
        <f>_xlfn.XLOOKUP(C528,dim_BMI!$C$2:$C$7,dim_BMI!$A$2:$A$7,,1)</f>
        <v>2</v>
      </c>
      <c r="K528" t="str">
        <f>_xlfn.XLOOKUP(C528,dim_BMI!$C$2:$C$7,dim_BMI!$B$2:$B$7,,1)</f>
        <v>18.5 to 24.9 (Healthy Weight)</v>
      </c>
    </row>
    <row r="529" spans="1:11" x14ac:dyDescent="0.25">
      <c r="A529" s="1">
        <v>143</v>
      </c>
      <c r="B529">
        <v>34</v>
      </c>
      <c r="C529">
        <v>25.3</v>
      </c>
      <c r="D529">
        <v>2</v>
      </c>
      <c r="E529">
        <f t="shared" si="8"/>
        <v>1</v>
      </c>
      <c r="F529">
        <v>18972.494999999999</v>
      </c>
      <c r="G529" t="s">
        <v>12</v>
      </c>
      <c r="H529" t="s">
        <v>8</v>
      </c>
      <c r="I529" t="s">
        <v>10</v>
      </c>
      <c r="J529">
        <f>_xlfn.XLOOKUP(C529,dim_BMI!$C$2:$C$7,dim_BMI!$A$2:$A$7,,1)</f>
        <v>3</v>
      </c>
      <c r="K529" t="str">
        <f>_xlfn.XLOOKUP(C529,dim_BMI!$C$2:$C$7,dim_BMI!$B$2:$B$7,,1)</f>
        <v>25.0 to 29.9 (Overweight)</v>
      </c>
    </row>
    <row r="530" spans="1:11" x14ac:dyDescent="0.25">
      <c r="A530" s="1">
        <v>214</v>
      </c>
      <c r="B530">
        <v>34</v>
      </c>
      <c r="C530">
        <v>26.73</v>
      </c>
      <c r="D530">
        <v>1</v>
      </c>
      <c r="E530">
        <f t="shared" si="8"/>
        <v>0</v>
      </c>
      <c r="F530">
        <v>5002.7826999999997</v>
      </c>
      <c r="G530" t="s">
        <v>12</v>
      </c>
      <c r="H530" t="s">
        <v>11</v>
      </c>
      <c r="I530" t="s">
        <v>7</v>
      </c>
      <c r="J530">
        <f>_xlfn.XLOOKUP(C530,dim_BMI!$C$2:$C$7,dim_BMI!$A$2:$A$7,,1)</f>
        <v>3</v>
      </c>
      <c r="K530" t="str">
        <f>_xlfn.XLOOKUP(C530,dim_BMI!$C$2:$C$7,dim_BMI!$B$2:$B$7,,1)</f>
        <v>25.0 to 29.9 (Overweight)</v>
      </c>
    </row>
    <row r="531" spans="1:11" x14ac:dyDescent="0.25">
      <c r="A531" s="1">
        <v>221</v>
      </c>
      <c r="B531">
        <v>34</v>
      </c>
      <c r="C531">
        <v>33.700000000000003</v>
      </c>
      <c r="D531">
        <v>1</v>
      </c>
      <c r="E531">
        <f t="shared" si="8"/>
        <v>0</v>
      </c>
      <c r="F531">
        <v>5012.4709999999995</v>
      </c>
      <c r="G531" t="s">
        <v>9</v>
      </c>
      <c r="H531" t="s">
        <v>11</v>
      </c>
      <c r="I531" t="s">
        <v>7</v>
      </c>
      <c r="J531">
        <f>_xlfn.XLOOKUP(C531,dim_BMI!$C$2:$C$7,dim_BMI!$A$2:$A$7,,1)</f>
        <v>4</v>
      </c>
      <c r="K531" t="str">
        <f>_xlfn.XLOOKUP(C531,dim_BMI!$C$2:$C$7,dim_BMI!$B$2:$B$7,,1)</f>
        <v>30.0 to 34.9 (Obesity Class 1)</v>
      </c>
    </row>
    <row r="532" spans="1:11" x14ac:dyDescent="0.25">
      <c r="A532" s="1">
        <v>321</v>
      </c>
      <c r="B532">
        <v>34</v>
      </c>
      <c r="C532">
        <v>25.27</v>
      </c>
      <c r="D532">
        <v>1</v>
      </c>
      <c r="E532">
        <f t="shared" si="8"/>
        <v>0</v>
      </c>
      <c r="F532">
        <v>4894.7533000000003</v>
      </c>
      <c r="G532" t="s">
        <v>13</v>
      </c>
      <c r="H532" t="s">
        <v>11</v>
      </c>
      <c r="I532" t="s">
        <v>10</v>
      </c>
      <c r="J532">
        <f>_xlfn.XLOOKUP(C532,dim_BMI!$C$2:$C$7,dim_BMI!$A$2:$A$7,,1)</f>
        <v>3</v>
      </c>
      <c r="K532" t="str">
        <f>_xlfn.XLOOKUP(C532,dim_BMI!$C$2:$C$7,dim_BMI!$B$2:$B$7,,1)</f>
        <v>25.0 to 29.9 (Overweight)</v>
      </c>
    </row>
    <row r="533" spans="1:11" x14ac:dyDescent="0.25">
      <c r="A533" s="1">
        <v>323</v>
      </c>
      <c r="B533">
        <v>34</v>
      </c>
      <c r="C533">
        <v>30.8</v>
      </c>
      <c r="D533">
        <v>0</v>
      </c>
      <c r="E533">
        <f t="shared" si="8"/>
        <v>1</v>
      </c>
      <c r="F533">
        <v>35491.64</v>
      </c>
      <c r="G533" t="s">
        <v>9</v>
      </c>
      <c r="H533" t="s">
        <v>8</v>
      </c>
      <c r="I533" t="s">
        <v>10</v>
      </c>
      <c r="J533">
        <f>_xlfn.XLOOKUP(C533,dim_BMI!$C$2:$C$7,dim_BMI!$A$2:$A$7,,1)</f>
        <v>4</v>
      </c>
      <c r="K533" t="str">
        <f>_xlfn.XLOOKUP(C533,dim_BMI!$C$2:$C$7,dim_BMI!$B$2:$B$7,,1)</f>
        <v>30.0 to 34.9 (Obesity Class 1)</v>
      </c>
    </row>
    <row r="534" spans="1:11" x14ac:dyDescent="0.25">
      <c r="A534" s="1">
        <v>346</v>
      </c>
      <c r="B534">
        <v>34</v>
      </c>
      <c r="C534">
        <v>29.26</v>
      </c>
      <c r="D534">
        <v>3</v>
      </c>
      <c r="E534">
        <f t="shared" si="8"/>
        <v>0</v>
      </c>
      <c r="F534">
        <v>6184.2993999999999</v>
      </c>
      <c r="G534" t="s">
        <v>12</v>
      </c>
      <c r="H534" t="s">
        <v>11</v>
      </c>
      <c r="I534" t="s">
        <v>7</v>
      </c>
      <c r="J534">
        <f>_xlfn.XLOOKUP(C534,dim_BMI!$C$2:$C$7,dim_BMI!$A$2:$A$7,,1)</f>
        <v>3</v>
      </c>
      <c r="K534" t="str">
        <f>_xlfn.XLOOKUP(C534,dim_BMI!$C$2:$C$7,dim_BMI!$B$2:$B$7,,1)</f>
        <v>25.0 to 29.9 (Overweight)</v>
      </c>
    </row>
    <row r="535" spans="1:11" x14ac:dyDescent="0.25">
      <c r="A535" s="1">
        <v>541</v>
      </c>
      <c r="B535">
        <v>34</v>
      </c>
      <c r="C535">
        <v>38</v>
      </c>
      <c r="D535">
        <v>3</v>
      </c>
      <c r="E535">
        <f t="shared" si="8"/>
        <v>0</v>
      </c>
      <c r="F535">
        <v>6196.4480000000003</v>
      </c>
      <c r="G535" t="s">
        <v>9</v>
      </c>
      <c r="H535" t="s">
        <v>11</v>
      </c>
      <c r="I535" t="s">
        <v>7</v>
      </c>
      <c r="J535">
        <f>_xlfn.XLOOKUP(C535,dim_BMI!$C$2:$C$7,dim_BMI!$A$2:$A$7,,1)</f>
        <v>5</v>
      </c>
      <c r="K535" t="str">
        <f>_xlfn.XLOOKUP(C535,dim_BMI!$C$2:$C$7,dim_BMI!$B$2:$B$7,,1)</f>
        <v>35 to 39.9 (Obesity Class 2)</v>
      </c>
    </row>
    <row r="536" spans="1:11" x14ac:dyDescent="0.25">
      <c r="A536" s="1">
        <v>558</v>
      </c>
      <c r="B536">
        <v>34</v>
      </c>
      <c r="C536">
        <v>34.21</v>
      </c>
      <c r="D536">
        <v>0</v>
      </c>
      <c r="E536">
        <f t="shared" si="8"/>
        <v>0</v>
      </c>
      <c r="F536">
        <v>3935.1799000000001</v>
      </c>
      <c r="G536" t="s">
        <v>12</v>
      </c>
      <c r="H536" t="s">
        <v>11</v>
      </c>
      <c r="I536" t="s">
        <v>10</v>
      </c>
      <c r="J536">
        <f>_xlfn.XLOOKUP(C536,dim_BMI!$C$2:$C$7,dim_BMI!$A$2:$A$7,,1)</f>
        <v>4</v>
      </c>
      <c r="K536" t="str">
        <f>_xlfn.XLOOKUP(C536,dim_BMI!$C$2:$C$7,dim_BMI!$B$2:$B$7,,1)</f>
        <v>30.0 to 34.9 (Obesity Class 1)</v>
      </c>
    </row>
    <row r="537" spans="1:11" x14ac:dyDescent="0.25">
      <c r="A537" s="1">
        <v>588</v>
      </c>
      <c r="B537">
        <v>34</v>
      </c>
      <c r="C537">
        <v>30.21</v>
      </c>
      <c r="D537">
        <v>1</v>
      </c>
      <c r="E537">
        <f t="shared" si="8"/>
        <v>1</v>
      </c>
      <c r="F537">
        <v>43943.876100000001</v>
      </c>
      <c r="G537" t="s">
        <v>13</v>
      </c>
      <c r="H537" t="s">
        <v>8</v>
      </c>
      <c r="I537" t="s">
        <v>7</v>
      </c>
      <c r="J537">
        <f>_xlfn.XLOOKUP(C537,dim_BMI!$C$2:$C$7,dim_BMI!$A$2:$A$7,,1)</f>
        <v>4</v>
      </c>
      <c r="K537" t="str">
        <f>_xlfn.XLOOKUP(C537,dim_BMI!$C$2:$C$7,dim_BMI!$B$2:$B$7,,1)</f>
        <v>30.0 to 34.9 (Obesity Class 1)</v>
      </c>
    </row>
    <row r="538" spans="1:11" x14ac:dyDescent="0.25">
      <c r="A538" s="1">
        <v>598</v>
      </c>
      <c r="B538">
        <v>34</v>
      </c>
      <c r="C538">
        <v>33.25</v>
      </c>
      <c r="D538">
        <v>1</v>
      </c>
      <c r="E538">
        <f t="shared" si="8"/>
        <v>0</v>
      </c>
      <c r="F538">
        <v>5594.8455000000004</v>
      </c>
      <c r="G538" t="s">
        <v>14</v>
      </c>
      <c r="H538" t="s">
        <v>11</v>
      </c>
      <c r="I538" t="s">
        <v>7</v>
      </c>
      <c r="J538">
        <f>_xlfn.XLOOKUP(C538,dim_BMI!$C$2:$C$7,dim_BMI!$A$2:$A$7,,1)</f>
        <v>4</v>
      </c>
      <c r="K538" t="str">
        <f>_xlfn.XLOOKUP(C538,dim_BMI!$C$2:$C$7,dim_BMI!$B$2:$B$7,,1)</f>
        <v>30.0 to 34.9 (Obesity Class 1)</v>
      </c>
    </row>
    <row r="539" spans="1:11" x14ac:dyDescent="0.25">
      <c r="A539" s="1">
        <v>614</v>
      </c>
      <c r="B539">
        <v>34</v>
      </c>
      <c r="C539">
        <v>19</v>
      </c>
      <c r="D539">
        <v>3</v>
      </c>
      <c r="E539">
        <f t="shared" si="8"/>
        <v>0</v>
      </c>
      <c r="F539">
        <v>6753.0379999999996</v>
      </c>
      <c r="G539" t="s">
        <v>14</v>
      </c>
      <c r="H539" t="s">
        <v>11</v>
      </c>
      <c r="I539" t="s">
        <v>7</v>
      </c>
      <c r="J539">
        <f>_xlfn.XLOOKUP(C539,dim_BMI!$C$2:$C$7,dim_BMI!$A$2:$A$7,,1)</f>
        <v>2</v>
      </c>
      <c r="K539" t="str">
        <f>_xlfn.XLOOKUP(C539,dim_BMI!$C$2:$C$7,dim_BMI!$B$2:$B$7,,1)</f>
        <v>18.5 to 24.9 (Healthy Weight)</v>
      </c>
    </row>
    <row r="540" spans="1:11" x14ac:dyDescent="0.25">
      <c r="A540" s="1">
        <v>704</v>
      </c>
      <c r="B540">
        <v>34</v>
      </c>
      <c r="C540">
        <v>26.41</v>
      </c>
      <c r="D540">
        <v>1</v>
      </c>
      <c r="E540">
        <f t="shared" si="8"/>
        <v>0</v>
      </c>
      <c r="F540">
        <v>5385.3379000000004</v>
      </c>
      <c r="G540" t="s">
        <v>13</v>
      </c>
      <c r="H540" t="s">
        <v>11</v>
      </c>
      <c r="I540" t="s">
        <v>7</v>
      </c>
      <c r="J540">
        <f>_xlfn.XLOOKUP(C540,dim_BMI!$C$2:$C$7,dim_BMI!$A$2:$A$7,,1)</f>
        <v>3</v>
      </c>
      <c r="K540" t="str">
        <f>_xlfn.XLOOKUP(C540,dim_BMI!$C$2:$C$7,dim_BMI!$B$2:$B$7,,1)</f>
        <v>25.0 to 29.9 (Overweight)</v>
      </c>
    </row>
    <row r="541" spans="1:11" x14ac:dyDescent="0.25">
      <c r="A541" s="1">
        <v>747</v>
      </c>
      <c r="B541">
        <v>34</v>
      </c>
      <c r="C541">
        <v>27</v>
      </c>
      <c r="D541">
        <v>2</v>
      </c>
      <c r="E541">
        <f t="shared" si="8"/>
        <v>0</v>
      </c>
      <c r="F541">
        <v>11737.848840000001</v>
      </c>
      <c r="G541" t="s">
        <v>9</v>
      </c>
      <c r="H541" t="s">
        <v>11</v>
      </c>
      <c r="I541" t="s">
        <v>10</v>
      </c>
      <c r="J541">
        <f>_xlfn.XLOOKUP(C541,dim_BMI!$C$2:$C$7,dim_BMI!$A$2:$A$7,,1)</f>
        <v>3</v>
      </c>
      <c r="K541" t="str">
        <f>_xlfn.XLOOKUP(C541,dim_BMI!$C$2:$C$7,dim_BMI!$B$2:$B$7,,1)</f>
        <v>25.0 to 29.9 (Overweight)</v>
      </c>
    </row>
    <row r="542" spans="1:11" x14ac:dyDescent="0.25">
      <c r="A542" s="1">
        <v>924</v>
      </c>
      <c r="B542">
        <v>34</v>
      </c>
      <c r="C542">
        <v>35.814999999999998</v>
      </c>
      <c r="D542">
        <v>0</v>
      </c>
      <c r="E542">
        <f t="shared" si="8"/>
        <v>0</v>
      </c>
      <c r="F542">
        <v>4320.4108500000002</v>
      </c>
      <c r="G542" t="s">
        <v>13</v>
      </c>
      <c r="H542" t="s">
        <v>11</v>
      </c>
      <c r="I542" t="s">
        <v>10</v>
      </c>
      <c r="J542">
        <f>_xlfn.XLOOKUP(C542,dim_BMI!$C$2:$C$7,dim_BMI!$A$2:$A$7,,1)</f>
        <v>5</v>
      </c>
      <c r="K542" t="str">
        <f>_xlfn.XLOOKUP(C542,dim_BMI!$C$2:$C$7,dim_BMI!$B$2:$B$7,,1)</f>
        <v>35 to 39.9 (Obesity Class 2)</v>
      </c>
    </row>
    <row r="543" spans="1:11" x14ac:dyDescent="0.25">
      <c r="A543" s="1">
        <v>955</v>
      </c>
      <c r="B543">
        <v>34</v>
      </c>
      <c r="C543">
        <v>27.835000000000001</v>
      </c>
      <c r="D543">
        <v>1</v>
      </c>
      <c r="E543">
        <f t="shared" si="8"/>
        <v>1</v>
      </c>
      <c r="F543">
        <v>20009.63365</v>
      </c>
      <c r="G543" t="s">
        <v>13</v>
      </c>
      <c r="H543" t="s">
        <v>8</v>
      </c>
      <c r="I543" t="s">
        <v>10</v>
      </c>
      <c r="J543">
        <f>_xlfn.XLOOKUP(C543,dim_BMI!$C$2:$C$7,dim_BMI!$A$2:$A$7,,1)</f>
        <v>3</v>
      </c>
      <c r="K543" t="str">
        <f>_xlfn.XLOOKUP(C543,dim_BMI!$C$2:$C$7,dim_BMI!$B$2:$B$7,,1)</f>
        <v>25.0 to 29.9 (Overweight)</v>
      </c>
    </row>
    <row r="544" spans="1:11" x14ac:dyDescent="0.25">
      <c r="A544" s="1">
        <v>972</v>
      </c>
      <c r="B544">
        <v>34</v>
      </c>
      <c r="C544">
        <v>23.56</v>
      </c>
      <c r="D544">
        <v>0</v>
      </c>
      <c r="E544">
        <f t="shared" si="8"/>
        <v>0</v>
      </c>
      <c r="F544">
        <v>4992.3764000000001</v>
      </c>
      <c r="G544" t="s">
        <v>14</v>
      </c>
      <c r="H544" t="s">
        <v>11</v>
      </c>
      <c r="I544" t="s">
        <v>7</v>
      </c>
      <c r="J544">
        <f>_xlfn.XLOOKUP(C544,dim_BMI!$C$2:$C$7,dim_BMI!$A$2:$A$7,,1)</f>
        <v>2</v>
      </c>
      <c r="K544" t="str">
        <f>_xlfn.XLOOKUP(C544,dim_BMI!$C$2:$C$7,dim_BMI!$B$2:$B$7,,1)</f>
        <v>18.5 to 24.9 (Healthy Weight)</v>
      </c>
    </row>
    <row r="545" spans="1:11" x14ac:dyDescent="0.25">
      <c r="A545" s="1">
        <v>982</v>
      </c>
      <c r="B545">
        <v>34</v>
      </c>
      <c r="C545">
        <v>21.375</v>
      </c>
      <c r="D545">
        <v>0</v>
      </c>
      <c r="E545">
        <f t="shared" si="8"/>
        <v>0</v>
      </c>
      <c r="F545">
        <v>4500.33925</v>
      </c>
      <c r="G545" t="s">
        <v>14</v>
      </c>
      <c r="H545" t="s">
        <v>11</v>
      </c>
      <c r="I545" t="s">
        <v>10</v>
      </c>
      <c r="J545">
        <f>_xlfn.XLOOKUP(C545,dim_BMI!$C$2:$C$7,dim_BMI!$A$2:$A$7,,1)</f>
        <v>2</v>
      </c>
      <c r="K545" t="str">
        <f>_xlfn.XLOOKUP(C545,dim_BMI!$C$2:$C$7,dim_BMI!$B$2:$B$7,,1)</f>
        <v>18.5 to 24.9 (Healthy Weight)</v>
      </c>
    </row>
    <row r="546" spans="1:11" x14ac:dyDescent="0.25">
      <c r="A546" s="1">
        <v>989</v>
      </c>
      <c r="B546">
        <v>34</v>
      </c>
      <c r="C546">
        <v>34.674999999999997</v>
      </c>
      <c r="D546">
        <v>0</v>
      </c>
      <c r="E546">
        <f t="shared" si="8"/>
        <v>0</v>
      </c>
      <c r="F546">
        <v>4518.8262500000001</v>
      </c>
      <c r="G546" t="s">
        <v>14</v>
      </c>
      <c r="H546" t="s">
        <v>11</v>
      </c>
      <c r="I546" t="s">
        <v>10</v>
      </c>
      <c r="J546">
        <f>_xlfn.XLOOKUP(C546,dim_BMI!$C$2:$C$7,dim_BMI!$A$2:$A$7,,1)</f>
        <v>4</v>
      </c>
      <c r="K546" t="str">
        <f>_xlfn.XLOOKUP(C546,dim_BMI!$C$2:$C$7,dim_BMI!$B$2:$B$7,,1)</f>
        <v>30.0 to 34.9 (Obesity Class 1)</v>
      </c>
    </row>
    <row r="547" spans="1:11" x14ac:dyDescent="0.25">
      <c r="A547" s="1">
        <v>1129</v>
      </c>
      <c r="B547">
        <v>34</v>
      </c>
      <c r="C547">
        <v>32.799999999999997</v>
      </c>
      <c r="D547">
        <v>1</v>
      </c>
      <c r="E547">
        <f t="shared" si="8"/>
        <v>0</v>
      </c>
      <c r="F547">
        <v>14358.364369999999</v>
      </c>
      <c r="G547" t="s">
        <v>9</v>
      </c>
      <c r="H547" t="s">
        <v>11</v>
      </c>
      <c r="I547" t="s">
        <v>10</v>
      </c>
      <c r="J547">
        <f>_xlfn.XLOOKUP(C547,dim_BMI!$C$2:$C$7,dim_BMI!$A$2:$A$7,,1)</f>
        <v>4</v>
      </c>
      <c r="K547" t="str">
        <f>_xlfn.XLOOKUP(C547,dim_BMI!$C$2:$C$7,dim_BMI!$B$2:$B$7,,1)</f>
        <v>30.0 to 34.9 (Obesity Class 1)</v>
      </c>
    </row>
    <row r="548" spans="1:11" x14ac:dyDescent="0.25">
      <c r="A548" s="1">
        <v>1162</v>
      </c>
      <c r="B548">
        <v>34</v>
      </c>
      <c r="C548">
        <v>42.13</v>
      </c>
      <c r="D548">
        <v>2</v>
      </c>
      <c r="E548">
        <f t="shared" si="8"/>
        <v>0</v>
      </c>
      <c r="F548">
        <v>5124.1886999999997</v>
      </c>
      <c r="G548" t="s">
        <v>12</v>
      </c>
      <c r="H548" t="s">
        <v>11</v>
      </c>
      <c r="I548" t="s">
        <v>10</v>
      </c>
      <c r="J548">
        <f>_xlfn.XLOOKUP(C548,dim_BMI!$C$2:$C$7,dim_BMI!$A$2:$A$7,,1)</f>
        <v>6</v>
      </c>
      <c r="K548" t="str">
        <f>_xlfn.XLOOKUP(C548,dim_BMI!$C$2:$C$7,dim_BMI!$B$2:$B$7,,1)</f>
        <v>40 or higher (Severe Obesity Class 3)</v>
      </c>
    </row>
    <row r="549" spans="1:11" x14ac:dyDescent="0.25">
      <c r="A549" s="1">
        <v>1255</v>
      </c>
      <c r="B549">
        <v>34</v>
      </c>
      <c r="C549">
        <v>27.72</v>
      </c>
      <c r="D549">
        <v>0</v>
      </c>
      <c r="E549">
        <f t="shared" si="8"/>
        <v>0</v>
      </c>
      <c r="F549">
        <v>4415.1588000000002</v>
      </c>
      <c r="G549" t="s">
        <v>12</v>
      </c>
      <c r="H549" t="s">
        <v>11</v>
      </c>
      <c r="I549" t="s">
        <v>7</v>
      </c>
      <c r="J549">
        <f>_xlfn.XLOOKUP(C549,dim_BMI!$C$2:$C$7,dim_BMI!$A$2:$A$7,,1)</f>
        <v>3</v>
      </c>
      <c r="K549" t="str">
        <f>_xlfn.XLOOKUP(C549,dim_BMI!$C$2:$C$7,dim_BMI!$B$2:$B$7,,1)</f>
        <v>25.0 to 29.9 (Overweight)</v>
      </c>
    </row>
    <row r="550" spans="1:11" x14ac:dyDescent="0.25">
      <c r="A550" s="1">
        <v>1313</v>
      </c>
      <c r="B550">
        <v>34</v>
      </c>
      <c r="C550">
        <v>42.9</v>
      </c>
      <c r="D550">
        <v>1</v>
      </c>
      <c r="E550">
        <f t="shared" si="8"/>
        <v>0</v>
      </c>
      <c r="F550">
        <v>4536.259</v>
      </c>
      <c r="G550" t="s">
        <v>9</v>
      </c>
      <c r="H550" t="s">
        <v>11</v>
      </c>
      <c r="I550" t="s">
        <v>10</v>
      </c>
      <c r="J550">
        <f>_xlfn.XLOOKUP(C550,dim_BMI!$C$2:$C$7,dim_BMI!$A$2:$A$7,,1)</f>
        <v>6</v>
      </c>
      <c r="K550" t="str">
        <f>_xlfn.XLOOKUP(C550,dim_BMI!$C$2:$C$7,dim_BMI!$B$2:$B$7,,1)</f>
        <v>40 or higher (Severe Obesity Class 3)</v>
      </c>
    </row>
    <row r="551" spans="1:11" x14ac:dyDescent="0.25">
      <c r="A551" s="1">
        <v>39</v>
      </c>
      <c r="B551">
        <v>35</v>
      </c>
      <c r="C551">
        <v>36.67</v>
      </c>
      <c r="D551">
        <v>1</v>
      </c>
      <c r="E551">
        <f t="shared" si="8"/>
        <v>1</v>
      </c>
      <c r="F551">
        <v>39774.276299999998</v>
      </c>
      <c r="G551" t="s">
        <v>14</v>
      </c>
      <c r="H551" t="s">
        <v>8</v>
      </c>
      <c r="I551" t="s">
        <v>10</v>
      </c>
      <c r="J551">
        <f>_xlfn.XLOOKUP(C551,dim_BMI!$C$2:$C$7,dim_BMI!$A$2:$A$7,,1)</f>
        <v>5</v>
      </c>
      <c r="K551" t="str">
        <f>_xlfn.XLOOKUP(C551,dim_BMI!$C$2:$C$7,dim_BMI!$B$2:$B$7,,1)</f>
        <v>35 to 39.9 (Obesity Class 2)</v>
      </c>
    </row>
    <row r="552" spans="1:11" x14ac:dyDescent="0.25">
      <c r="A552" s="1">
        <v>94</v>
      </c>
      <c r="B552">
        <v>35</v>
      </c>
      <c r="C552">
        <v>34.770000000000003</v>
      </c>
      <c r="D552">
        <v>2</v>
      </c>
      <c r="E552">
        <f t="shared" si="8"/>
        <v>0</v>
      </c>
      <c r="F552">
        <v>5729.0052999999998</v>
      </c>
      <c r="G552" t="s">
        <v>13</v>
      </c>
      <c r="H552" t="s">
        <v>11</v>
      </c>
      <c r="I552" t="s">
        <v>10</v>
      </c>
      <c r="J552">
        <f>_xlfn.XLOOKUP(C552,dim_BMI!$C$2:$C$7,dim_BMI!$A$2:$A$7,,1)</f>
        <v>4</v>
      </c>
      <c r="K552" t="str">
        <f>_xlfn.XLOOKUP(C552,dim_BMI!$C$2:$C$7,dim_BMI!$B$2:$B$7,,1)</f>
        <v>30.0 to 34.9 (Obesity Class 1)</v>
      </c>
    </row>
    <row r="553" spans="1:11" x14ac:dyDescent="0.25">
      <c r="A553" s="1">
        <v>151</v>
      </c>
      <c r="B553">
        <v>35</v>
      </c>
      <c r="C553">
        <v>24.13</v>
      </c>
      <c r="D553">
        <v>1</v>
      </c>
      <c r="E553">
        <f t="shared" si="8"/>
        <v>0</v>
      </c>
      <c r="F553">
        <v>5125.2156999999997</v>
      </c>
      <c r="G553" t="s">
        <v>13</v>
      </c>
      <c r="H553" t="s">
        <v>11</v>
      </c>
      <c r="I553" t="s">
        <v>10</v>
      </c>
      <c r="J553">
        <f>_xlfn.XLOOKUP(C553,dim_BMI!$C$2:$C$7,dim_BMI!$A$2:$A$7,,1)</f>
        <v>2</v>
      </c>
      <c r="K553" t="str">
        <f>_xlfn.XLOOKUP(C553,dim_BMI!$C$2:$C$7,dim_BMI!$B$2:$B$7,,1)</f>
        <v>18.5 to 24.9 (Healthy Weight)</v>
      </c>
    </row>
    <row r="554" spans="1:11" x14ac:dyDescent="0.25">
      <c r="A554" s="1">
        <v>174</v>
      </c>
      <c r="B554">
        <v>35</v>
      </c>
      <c r="C554">
        <v>34.799999999999997</v>
      </c>
      <c r="D554">
        <v>1</v>
      </c>
      <c r="E554">
        <f t="shared" si="8"/>
        <v>0</v>
      </c>
      <c r="F554">
        <v>5246.0469999999996</v>
      </c>
      <c r="G554" t="s">
        <v>9</v>
      </c>
      <c r="H554" t="s">
        <v>11</v>
      </c>
      <c r="I554" t="s">
        <v>7</v>
      </c>
      <c r="J554">
        <f>_xlfn.XLOOKUP(C554,dim_BMI!$C$2:$C$7,dim_BMI!$A$2:$A$7,,1)</f>
        <v>4</v>
      </c>
      <c r="K554" t="str">
        <f>_xlfn.XLOOKUP(C554,dim_BMI!$C$2:$C$7,dim_BMI!$B$2:$B$7,,1)</f>
        <v>30.0 to 34.9 (Obesity Class 1)</v>
      </c>
    </row>
    <row r="555" spans="1:11" x14ac:dyDescent="0.25">
      <c r="A555" s="1">
        <v>208</v>
      </c>
      <c r="B555">
        <v>35</v>
      </c>
      <c r="C555">
        <v>27.74</v>
      </c>
      <c r="D555">
        <v>2</v>
      </c>
      <c r="E555">
        <f t="shared" si="8"/>
        <v>1</v>
      </c>
      <c r="F555">
        <v>20984.0936</v>
      </c>
      <c r="G555" t="s">
        <v>14</v>
      </c>
      <c r="H555" t="s">
        <v>8</v>
      </c>
      <c r="I555" t="s">
        <v>10</v>
      </c>
      <c r="J555">
        <f>_xlfn.XLOOKUP(C555,dim_BMI!$C$2:$C$7,dim_BMI!$A$2:$A$7,,1)</f>
        <v>3</v>
      </c>
      <c r="K555" t="str">
        <f>_xlfn.XLOOKUP(C555,dim_BMI!$C$2:$C$7,dim_BMI!$B$2:$B$7,,1)</f>
        <v>25.0 to 29.9 (Overweight)</v>
      </c>
    </row>
    <row r="556" spans="1:11" x14ac:dyDescent="0.25">
      <c r="A556" s="1">
        <v>362</v>
      </c>
      <c r="B556">
        <v>35</v>
      </c>
      <c r="C556">
        <v>30.5</v>
      </c>
      <c r="D556">
        <v>1</v>
      </c>
      <c r="E556">
        <f t="shared" si="8"/>
        <v>0</v>
      </c>
      <c r="F556">
        <v>4751.07</v>
      </c>
      <c r="G556" t="s">
        <v>9</v>
      </c>
      <c r="H556" t="s">
        <v>11</v>
      </c>
      <c r="I556" t="s">
        <v>10</v>
      </c>
      <c r="J556">
        <f>_xlfn.XLOOKUP(C556,dim_BMI!$C$2:$C$7,dim_BMI!$A$2:$A$7,,1)</f>
        <v>4</v>
      </c>
      <c r="K556" t="str">
        <f>_xlfn.XLOOKUP(C556,dim_BMI!$C$2:$C$7,dim_BMI!$B$2:$B$7,,1)</f>
        <v>30.0 to 34.9 (Obesity Class 1)</v>
      </c>
    </row>
    <row r="557" spans="1:11" x14ac:dyDescent="0.25">
      <c r="A557" s="1">
        <v>384</v>
      </c>
      <c r="B557">
        <v>35</v>
      </c>
      <c r="C557">
        <v>43.34</v>
      </c>
      <c r="D557">
        <v>2</v>
      </c>
      <c r="E557">
        <f t="shared" si="8"/>
        <v>0</v>
      </c>
      <c r="F557">
        <v>5846.9175999999998</v>
      </c>
      <c r="G557" t="s">
        <v>12</v>
      </c>
      <c r="H557" t="s">
        <v>11</v>
      </c>
      <c r="I557" t="s">
        <v>7</v>
      </c>
      <c r="J557">
        <f>_xlfn.XLOOKUP(C557,dim_BMI!$C$2:$C$7,dim_BMI!$A$2:$A$7,,1)</f>
        <v>6</v>
      </c>
      <c r="K557" t="str">
        <f>_xlfn.XLOOKUP(C557,dim_BMI!$C$2:$C$7,dim_BMI!$B$2:$B$7,,1)</f>
        <v>40 or higher (Severe Obesity Class 3)</v>
      </c>
    </row>
    <row r="558" spans="1:11" x14ac:dyDescent="0.25">
      <c r="A558" s="1">
        <v>438</v>
      </c>
      <c r="B558">
        <v>35</v>
      </c>
      <c r="C558">
        <v>28.9</v>
      </c>
      <c r="D558">
        <v>3</v>
      </c>
      <c r="E558">
        <f t="shared" si="8"/>
        <v>0</v>
      </c>
      <c r="F558">
        <v>5926.8459999999995</v>
      </c>
      <c r="G558" t="s">
        <v>9</v>
      </c>
      <c r="H558" t="s">
        <v>11</v>
      </c>
      <c r="I558" t="s">
        <v>10</v>
      </c>
      <c r="J558">
        <f>_xlfn.XLOOKUP(C558,dim_BMI!$C$2:$C$7,dim_BMI!$A$2:$A$7,,1)</f>
        <v>3</v>
      </c>
      <c r="K558" t="str">
        <f>_xlfn.XLOOKUP(C558,dim_BMI!$C$2:$C$7,dim_BMI!$B$2:$B$7,,1)</f>
        <v>25.0 to 29.9 (Overweight)</v>
      </c>
    </row>
    <row r="559" spans="1:11" x14ac:dyDescent="0.25">
      <c r="A559" s="1">
        <v>450</v>
      </c>
      <c r="B559">
        <v>35</v>
      </c>
      <c r="C559">
        <v>38.6</v>
      </c>
      <c r="D559">
        <v>1</v>
      </c>
      <c r="E559">
        <f t="shared" si="8"/>
        <v>0</v>
      </c>
      <c r="F559">
        <v>4762.3289999999997</v>
      </c>
      <c r="G559" t="s">
        <v>9</v>
      </c>
      <c r="H559" t="s">
        <v>11</v>
      </c>
      <c r="I559" t="s">
        <v>10</v>
      </c>
      <c r="J559">
        <f>_xlfn.XLOOKUP(C559,dim_BMI!$C$2:$C$7,dim_BMI!$A$2:$A$7,,1)</f>
        <v>5</v>
      </c>
      <c r="K559" t="str">
        <f>_xlfn.XLOOKUP(C559,dim_BMI!$C$2:$C$7,dim_BMI!$B$2:$B$7,,1)</f>
        <v>35 to 39.9 (Obesity Class 2)</v>
      </c>
    </row>
    <row r="560" spans="1:11" x14ac:dyDescent="0.25">
      <c r="A560" s="1">
        <v>519</v>
      </c>
      <c r="B560">
        <v>35</v>
      </c>
      <c r="C560">
        <v>31</v>
      </c>
      <c r="D560">
        <v>1</v>
      </c>
      <c r="E560">
        <f t="shared" si="8"/>
        <v>0</v>
      </c>
      <c r="F560">
        <v>5240.7650000000003</v>
      </c>
      <c r="G560" t="s">
        <v>9</v>
      </c>
      <c r="H560" t="s">
        <v>11</v>
      </c>
      <c r="I560" t="s">
        <v>7</v>
      </c>
      <c r="J560">
        <f>_xlfn.XLOOKUP(C560,dim_BMI!$C$2:$C$7,dim_BMI!$A$2:$A$7,,1)</f>
        <v>4</v>
      </c>
      <c r="K560" t="str">
        <f>_xlfn.XLOOKUP(C560,dim_BMI!$C$2:$C$7,dim_BMI!$B$2:$B$7,,1)</f>
        <v>30.0 to 34.9 (Obesity Class 1)</v>
      </c>
    </row>
    <row r="561" spans="1:11" x14ac:dyDescent="0.25">
      <c r="A561" s="1">
        <v>559</v>
      </c>
      <c r="B561">
        <v>35</v>
      </c>
      <c r="C561">
        <v>34.104999999999997</v>
      </c>
      <c r="D561">
        <v>3</v>
      </c>
      <c r="E561">
        <f t="shared" si="8"/>
        <v>1</v>
      </c>
      <c r="F561">
        <v>39983.425949999997</v>
      </c>
      <c r="G561" t="s">
        <v>13</v>
      </c>
      <c r="H561" t="s">
        <v>8</v>
      </c>
      <c r="I561" t="s">
        <v>7</v>
      </c>
      <c r="J561">
        <f>_xlfn.XLOOKUP(C561,dim_BMI!$C$2:$C$7,dim_BMI!$A$2:$A$7,,1)</f>
        <v>4</v>
      </c>
      <c r="K561" t="str">
        <f>_xlfn.XLOOKUP(C561,dim_BMI!$C$2:$C$7,dim_BMI!$B$2:$B$7,,1)</f>
        <v>30.0 to 34.9 (Obesity Class 1)</v>
      </c>
    </row>
    <row r="562" spans="1:11" x14ac:dyDescent="0.25">
      <c r="A562" s="1">
        <v>638</v>
      </c>
      <c r="B562">
        <v>35</v>
      </c>
      <c r="C562">
        <v>38.094999999999999</v>
      </c>
      <c r="D562">
        <v>2</v>
      </c>
      <c r="E562">
        <f t="shared" si="8"/>
        <v>0</v>
      </c>
      <c r="F562">
        <v>24915.046259999999</v>
      </c>
      <c r="G562" t="s">
        <v>14</v>
      </c>
      <c r="H562" t="s">
        <v>11</v>
      </c>
      <c r="I562" t="s">
        <v>7</v>
      </c>
      <c r="J562">
        <f>_xlfn.XLOOKUP(C562,dim_BMI!$C$2:$C$7,dim_BMI!$A$2:$A$7,,1)</f>
        <v>5</v>
      </c>
      <c r="K562" t="str">
        <f>_xlfn.XLOOKUP(C562,dim_BMI!$C$2:$C$7,dim_BMI!$B$2:$B$7,,1)</f>
        <v>35 to 39.9 (Obesity Class 2)</v>
      </c>
    </row>
    <row r="563" spans="1:11" x14ac:dyDescent="0.25">
      <c r="A563" s="1">
        <v>731</v>
      </c>
      <c r="B563">
        <v>35</v>
      </c>
      <c r="C563">
        <v>24.42</v>
      </c>
      <c r="D563">
        <v>3</v>
      </c>
      <c r="E563">
        <f t="shared" si="8"/>
        <v>1</v>
      </c>
      <c r="F563">
        <v>19361.998800000001</v>
      </c>
      <c r="G563" t="s">
        <v>12</v>
      </c>
      <c r="H563" t="s">
        <v>8</v>
      </c>
      <c r="I563" t="s">
        <v>10</v>
      </c>
      <c r="J563">
        <f>_xlfn.XLOOKUP(C563,dim_BMI!$C$2:$C$7,dim_BMI!$A$2:$A$7,,1)</f>
        <v>2</v>
      </c>
      <c r="K563" t="str">
        <f>_xlfn.XLOOKUP(C563,dim_BMI!$C$2:$C$7,dim_BMI!$B$2:$B$7,,1)</f>
        <v>18.5 to 24.9 (Healthy Weight)</v>
      </c>
    </row>
    <row r="564" spans="1:11" x14ac:dyDescent="0.25">
      <c r="A564" s="1">
        <v>779</v>
      </c>
      <c r="B564">
        <v>35</v>
      </c>
      <c r="C564">
        <v>34.32</v>
      </c>
      <c r="D564">
        <v>3</v>
      </c>
      <c r="E564">
        <f t="shared" si="8"/>
        <v>0</v>
      </c>
      <c r="F564">
        <v>5934.3797999999997</v>
      </c>
      <c r="G564" t="s">
        <v>12</v>
      </c>
      <c r="H564" t="s">
        <v>11</v>
      </c>
      <c r="I564" t="s">
        <v>10</v>
      </c>
      <c r="J564">
        <f>_xlfn.XLOOKUP(C564,dim_BMI!$C$2:$C$7,dim_BMI!$A$2:$A$7,,1)</f>
        <v>4</v>
      </c>
      <c r="K564" t="str">
        <f>_xlfn.XLOOKUP(C564,dim_BMI!$C$2:$C$7,dim_BMI!$B$2:$B$7,,1)</f>
        <v>30.0 to 34.9 (Obesity Class 1)</v>
      </c>
    </row>
    <row r="565" spans="1:11" x14ac:dyDescent="0.25">
      <c r="A565" s="1">
        <v>786</v>
      </c>
      <c r="B565">
        <v>35</v>
      </c>
      <c r="C565">
        <v>27.7</v>
      </c>
      <c r="D565">
        <v>3</v>
      </c>
      <c r="E565">
        <f t="shared" si="8"/>
        <v>0</v>
      </c>
      <c r="F565">
        <v>6414.1779999999999</v>
      </c>
      <c r="G565" t="s">
        <v>9</v>
      </c>
      <c r="H565" t="s">
        <v>11</v>
      </c>
      <c r="I565" t="s">
        <v>7</v>
      </c>
      <c r="J565">
        <f>_xlfn.XLOOKUP(C565,dim_BMI!$C$2:$C$7,dim_BMI!$A$2:$A$7,,1)</f>
        <v>3</v>
      </c>
      <c r="K565" t="str">
        <f>_xlfn.XLOOKUP(C565,dim_BMI!$C$2:$C$7,dim_BMI!$B$2:$B$7,,1)</f>
        <v>25.0 to 29.9 (Overweight)</v>
      </c>
    </row>
    <row r="566" spans="1:11" x14ac:dyDescent="0.25">
      <c r="A566" s="1">
        <v>839</v>
      </c>
      <c r="B566">
        <v>35</v>
      </c>
      <c r="C566">
        <v>23.465</v>
      </c>
      <c r="D566">
        <v>2</v>
      </c>
      <c r="E566">
        <f t="shared" si="8"/>
        <v>0</v>
      </c>
      <c r="F566">
        <v>6402.2913500000004</v>
      </c>
      <c r="G566" t="s">
        <v>14</v>
      </c>
      <c r="H566" t="s">
        <v>11</v>
      </c>
      <c r="I566" t="s">
        <v>7</v>
      </c>
      <c r="J566">
        <f>_xlfn.XLOOKUP(C566,dim_BMI!$C$2:$C$7,dim_BMI!$A$2:$A$7,,1)</f>
        <v>2</v>
      </c>
      <c r="K566" t="str">
        <f>_xlfn.XLOOKUP(C566,dim_BMI!$C$2:$C$7,dim_BMI!$B$2:$B$7,,1)</f>
        <v>18.5 to 24.9 (Healthy Weight)</v>
      </c>
    </row>
    <row r="567" spans="1:11" x14ac:dyDescent="0.25">
      <c r="A567" s="1">
        <v>920</v>
      </c>
      <c r="B567">
        <v>35</v>
      </c>
      <c r="C567">
        <v>34.21</v>
      </c>
      <c r="D567">
        <v>1</v>
      </c>
      <c r="E567">
        <f t="shared" si="8"/>
        <v>0</v>
      </c>
      <c r="F567">
        <v>5245.2268999999997</v>
      </c>
      <c r="G567" t="s">
        <v>12</v>
      </c>
      <c r="H567" t="s">
        <v>11</v>
      </c>
      <c r="I567" t="s">
        <v>7</v>
      </c>
      <c r="J567">
        <f>_xlfn.XLOOKUP(C567,dim_BMI!$C$2:$C$7,dim_BMI!$A$2:$A$7,,1)</f>
        <v>4</v>
      </c>
      <c r="K567" t="str">
        <f>_xlfn.XLOOKUP(C567,dim_BMI!$C$2:$C$7,dim_BMI!$B$2:$B$7,,1)</f>
        <v>30.0 to 34.9 (Obesity Class 1)</v>
      </c>
    </row>
    <row r="568" spans="1:11" x14ac:dyDescent="0.25">
      <c r="A568" s="1">
        <v>966</v>
      </c>
      <c r="B568">
        <v>35</v>
      </c>
      <c r="C568">
        <v>27.1</v>
      </c>
      <c r="D568">
        <v>1</v>
      </c>
      <c r="E568">
        <f t="shared" si="8"/>
        <v>0</v>
      </c>
      <c r="F568">
        <v>4746.3440000000001</v>
      </c>
      <c r="G568" t="s">
        <v>9</v>
      </c>
      <c r="H568" t="s">
        <v>11</v>
      </c>
      <c r="I568" t="s">
        <v>10</v>
      </c>
      <c r="J568">
        <f>_xlfn.XLOOKUP(C568,dim_BMI!$C$2:$C$7,dim_BMI!$A$2:$A$7,,1)</f>
        <v>3</v>
      </c>
      <c r="K568" t="str">
        <f>_xlfn.XLOOKUP(C568,dim_BMI!$C$2:$C$7,dim_BMI!$B$2:$B$7,,1)</f>
        <v>25.0 to 29.9 (Overweight)</v>
      </c>
    </row>
    <row r="569" spans="1:11" x14ac:dyDescent="0.25">
      <c r="A569" s="1">
        <v>1041</v>
      </c>
      <c r="B569">
        <v>35</v>
      </c>
      <c r="C569">
        <v>28.024999999999999</v>
      </c>
      <c r="D569">
        <v>0</v>
      </c>
      <c r="E569">
        <f t="shared" si="8"/>
        <v>1</v>
      </c>
      <c r="F569">
        <v>20234.854749999999</v>
      </c>
      <c r="G569" t="s">
        <v>13</v>
      </c>
      <c r="H569" t="s">
        <v>8</v>
      </c>
      <c r="I569" t="s">
        <v>7</v>
      </c>
      <c r="J569">
        <f>_xlfn.XLOOKUP(C569,dim_BMI!$C$2:$C$7,dim_BMI!$A$2:$A$7,,1)</f>
        <v>3</v>
      </c>
      <c r="K569" t="str">
        <f>_xlfn.XLOOKUP(C569,dim_BMI!$C$2:$C$7,dim_BMI!$B$2:$B$7,,1)</f>
        <v>25.0 to 29.9 (Overweight)</v>
      </c>
    </row>
    <row r="570" spans="1:11" x14ac:dyDescent="0.25">
      <c r="A570" s="1">
        <v>1128</v>
      </c>
      <c r="B570">
        <v>35</v>
      </c>
      <c r="C570">
        <v>35.86</v>
      </c>
      <c r="D570">
        <v>2</v>
      </c>
      <c r="E570">
        <f t="shared" si="8"/>
        <v>0</v>
      </c>
      <c r="F570">
        <v>5836.5204000000003</v>
      </c>
      <c r="G570" t="s">
        <v>12</v>
      </c>
      <c r="H570" t="s">
        <v>11</v>
      </c>
      <c r="I570" t="s">
        <v>7</v>
      </c>
      <c r="J570">
        <f>_xlfn.XLOOKUP(C570,dim_BMI!$C$2:$C$7,dim_BMI!$A$2:$A$7,,1)</f>
        <v>5</v>
      </c>
      <c r="K570" t="str">
        <f>_xlfn.XLOOKUP(C570,dim_BMI!$C$2:$C$7,dim_BMI!$B$2:$B$7,,1)</f>
        <v>35 to 39.9 (Obesity Class 2)</v>
      </c>
    </row>
    <row r="571" spans="1:11" x14ac:dyDescent="0.25">
      <c r="A571" s="1">
        <v>1154</v>
      </c>
      <c r="B571">
        <v>35</v>
      </c>
      <c r="C571">
        <v>35.814999999999998</v>
      </c>
      <c r="D571">
        <v>1</v>
      </c>
      <c r="E571">
        <f t="shared" si="8"/>
        <v>0</v>
      </c>
      <c r="F571">
        <v>5630.4578499999998</v>
      </c>
      <c r="G571" t="s">
        <v>13</v>
      </c>
      <c r="H571" t="s">
        <v>11</v>
      </c>
      <c r="I571" t="s">
        <v>7</v>
      </c>
      <c r="J571">
        <f>_xlfn.XLOOKUP(C571,dim_BMI!$C$2:$C$7,dim_BMI!$A$2:$A$7,,1)</f>
        <v>5</v>
      </c>
      <c r="K571" t="str">
        <f>_xlfn.XLOOKUP(C571,dim_BMI!$C$2:$C$7,dim_BMI!$B$2:$B$7,,1)</f>
        <v>35 to 39.9 (Obesity Class 2)</v>
      </c>
    </row>
    <row r="572" spans="1:11" x14ac:dyDescent="0.25">
      <c r="A572" s="1">
        <v>1166</v>
      </c>
      <c r="B572">
        <v>35</v>
      </c>
      <c r="C572">
        <v>26.125</v>
      </c>
      <c r="D572">
        <v>0</v>
      </c>
      <c r="E572">
        <f t="shared" si="8"/>
        <v>0</v>
      </c>
      <c r="F572">
        <v>5227.9887500000004</v>
      </c>
      <c r="G572" t="s">
        <v>14</v>
      </c>
      <c r="H572" t="s">
        <v>11</v>
      </c>
      <c r="I572" t="s">
        <v>7</v>
      </c>
      <c r="J572">
        <f>_xlfn.XLOOKUP(C572,dim_BMI!$C$2:$C$7,dim_BMI!$A$2:$A$7,,1)</f>
        <v>3</v>
      </c>
      <c r="K572" t="str">
        <f>_xlfn.XLOOKUP(C572,dim_BMI!$C$2:$C$7,dim_BMI!$B$2:$B$7,,1)</f>
        <v>25.0 to 29.9 (Overweight)</v>
      </c>
    </row>
    <row r="573" spans="1:11" x14ac:dyDescent="0.25">
      <c r="A573" s="1">
        <v>1206</v>
      </c>
      <c r="B573">
        <v>35</v>
      </c>
      <c r="C573">
        <v>17.86</v>
      </c>
      <c r="D573">
        <v>1</v>
      </c>
      <c r="E573">
        <f t="shared" si="8"/>
        <v>0</v>
      </c>
      <c r="F573">
        <v>5116.5003999999999</v>
      </c>
      <c r="G573" t="s">
        <v>13</v>
      </c>
      <c r="H573" t="s">
        <v>11</v>
      </c>
      <c r="I573" t="s">
        <v>10</v>
      </c>
      <c r="J573">
        <f>_xlfn.XLOOKUP(C573,dim_BMI!$C$2:$C$7,dim_BMI!$A$2:$A$7,,1)</f>
        <v>1</v>
      </c>
      <c r="K573" t="str">
        <f>_xlfn.XLOOKUP(C573,dim_BMI!$C$2:$C$7,dim_BMI!$B$2:$B$7,,1)</f>
        <v>18.49 or less (Underweight)</v>
      </c>
    </row>
    <row r="574" spans="1:11" x14ac:dyDescent="0.25">
      <c r="A574" s="1">
        <v>1274</v>
      </c>
      <c r="B574">
        <v>35</v>
      </c>
      <c r="C574">
        <v>27.61</v>
      </c>
      <c r="D574">
        <v>1</v>
      </c>
      <c r="E574">
        <f t="shared" si="8"/>
        <v>0</v>
      </c>
      <c r="F574">
        <v>4747.0528999999997</v>
      </c>
      <c r="G574" t="s">
        <v>12</v>
      </c>
      <c r="H574" t="s">
        <v>11</v>
      </c>
      <c r="I574" t="s">
        <v>10</v>
      </c>
      <c r="J574">
        <f>_xlfn.XLOOKUP(C574,dim_BMI!$C$2:$C$7,dim_BMI!$A$2:$A$7,,1)</f>
        <v>3</v>
      </c>
      <c r="K574" t="str">
        <f>_xlfn.XLOOKUP(C574,dim_BMI!$C$2:$C$7,dim_BMI!$B$2:$B$7,,1)</f>
        <v>25.0 to 29.9 (Overweight)</v>
      </c>
    </row>
    <row r="575" spans="1:11" x14ac:dyDescent="0.25">
      <c r="A575" s="1">
        <v>1319</v>
      </c>
      <c r="B575">
        <v>35</v>
      </c>
      <c r="C575">
        <v>39.71</v>
      </c>
      <c r="D575">
        <v>4</v>
      </c>
      <c r="E575">
        <f t="shared" si="8"/>
        <v>0</v>
      </c>
      <c r="F575">
        <v>19496.71917</v>
      </c>
      <c r="G575" t="s">
        <v>14</v>
      </c>
      <c r="H575" t="s">
        <v>11</v>
      </c>
      <c r="I575" t="s">
        <v>10</v>
      </c>
      <c r="J575">
        <f>_xlfn.XLOOKUP(C575,dim_BMI!$C$2:$C$7,dim_BMI!$A$2:$A$7,,1)</f>
        <v>5</v>
      </c>
      <c r="K575" t="str">
        <f>_xlfn.XLOOKUP(C575,dim_BMI!$C$2:$C$7,dim_BMI!$B$2:$B$7,,1)</f>
        <v>35 to 39.9 (Obesity Class 2)</v>
      </c>
    </row>
    <row r="576" spans="1:11" x14ac:dyDescent="0.25">
      <c r="A576" s="1">
        <v>50</v>
      </c>
      <c r="B576">
        <v>36</v>
      </c>
      <c r="C576">
        <v>35.200000000000003</v>
      </c>
      <c r="D576">
        <v>1</v>
      </c>
      <c r="E576">
        <f t="shared" si="8"/>
        <v>1</v>
      </c>
      <c r="F576">
        <v>38709.175999999999</v>
      </c>
      <c r="G576" t="s">
        <v>12</v>
      </c>
      <c r="H576" t="s">
        <v>8</v>
      </c>
      <c r="I576" t="s">
        <v>10</v>
      </c>
      <c r="J576">
        <f>_xlfn.XLOOKUP(C576,dim_BMI!$C$2:$C$7,dim_BMI!$A$2:$A$7,,1)</f>
        <v>5</v>
      </c>
      <c r="K576" t="str">
        <f>_xlfn.XLOOKUP(C576,dim_BMI!$C$2:$C$7,dim_BMI!$B$2:$B$7,,1)</f>
        <v>35 to 39.9 (Obesity Class 2)</v>
      </c>
    </row>
    <row r="577" spans="1:11" x14ac:dyDescent="0.25">
      <c r="A577" s="1">
        <v>54</v>
      </c>
      <c r="B577">
        <v>36</v>
      </c>
      <c r="C577">
        <v>34.43</v>
      </c>
      <c r="D577">
        <v>0</v>
      </c>
      <c r="E577">
        <f t="shared" si="8"/>
        <v>1</v>
      </c>
      <c r="F577">
        <v>37742.575700000001</v>
      </c>
      <c r="G577" t="s">
        <v>12</v>
      </c>
      <c r="H577" t="s">
        <v>8</v>
      </c>
      <c r="I577" t="s">
        <v>10</v>
      </c>
      <c r="J577">
        <f>_xlfn.XLOOKUP(C577,dim_BMI!$C$2:$C$7,dim_BMI!$A$2:$A$7,,1)</f>
        <v>4</v>
      </c>
      <c r="K577" t="str">
        <f>_xlfn.XLOOKUP(C577,dim_BMI!$C$2:$C$7,dim_BMI!$B$2:$B$7,,1)</f>
        <v>30.0 to 34.9 (Obesity Class 1)</v>
      </c>
    </row>
    <row r="578" spans="1:11" x14ac:dyDescent="0.25">
      <c r="A578" s="1">
        <v>186</v>
      </c>
      <c r="B578">
        <v>36</v>
      </c>
      <c r="C578">
        <v>41.895000000000003</v>
      </c>
      <c r="D578">
        <v>3</v>
      </c>
      <c r="E578">
        <f t="shared" si="8"/>
        <v>1</v>
      </c>
      <c r="F578">
        <v>43753.337050000002</v>
      </c>
      <c r="G578" t="s">
        <v>14</v>
      </c>
      <c r="H578" t="s">
        <v>8</v>
      </c>
      <c r="I578" t="s">
        <v>10</v>
      </c>
      <c r="J578">
        <f>_xlfn.XLOOKUP(C578,dim_BMI!$C$2:$C$7,dim_BMI!$A$2:$A$7,,1)</f>
        <v>6</v>
      </c>
      <c r="K578" t="str">
        <f>_xlfn.XLOOKUP(C578,dim_BMI!$C$2:$C$7,dim_BMI!$B$2:$B$7,,1)</f>
        <v>40 or higher (Severe Obesity Class 3)</v>
      </c>
    </row>
    <row r="579" spans="1:11" x14ac:dyDescent="0.25">
      <c r="A579" s="1">
        <v>192</v>
      </c>
      <c r="B579">
        <v>36</v>
      </c>
      <c r="C579">
        <v>26.2</v>
      </c>
      <c r="D579">
        <v>0</v>
      </c>
      <c r="E579">
        <f t="shared" ref="E579:E642" si="9">IF(H579="yes",1,0)</f>
        <v>0</v>
      </c>
      <c r="F579">
        <v>4883.866</v>
      </c>
      <c r="G579" t="s">
        <v>9</v>
      </c>
      <c r="H579" t="s">
        <v>11</v>
      </c>
      <c r="I579" t="s">
        <v>7</v>
      </c>
      <c r="J579">
        <f>_xlfn.XLOOKUP(C579,dim_BMI!$C$2:$C$7,dim_BMI!$A$2:$A$7,,1)</f>
        <v>3</v>
      </c>
      <c r="K579" t="str">
        <f>_xlfn.XLOOKUP(C579,dim_BMI!$C$2:$C$7,dim_BMI!$B$2:$B$7,,1)</f>
        <v>25.0 to 29.9 (Overweight)</v>
      </c>
    </row>
    <row r="580" spans="1:11" x14ac:dyDescent="0.25">
      <c r="A580" s="1">
        <v>301</v>
      </c>
      <c r="B580">
        <v>36</v>
      </c>
      <c r="C580">
        <v>27.55</v>
      </c>
      <c r="D580">
        <v>3</v>
      </c>
      <c r="E580">
        <f t="shared" si="9"/>
        <v>0</v>
      </c>
      <c r="F580">
        <v>6746.7425000000003</v>
      </c>
      <c r="G580" t="s">
        <v>14</v>
      </c>
      <c r="H580" t="s">
        <v>11</v>
      </c>
      <c r="I580" t="s">
        <v>10</v>
      </c>
      <c r="J580">
        <f>_xlfn.XLOOKUP(C580,dim_BMI!$C$2:$C$7,dim_BMI!$A$2:$A$7,,1)</f>
        <v>3</v>
      </c>
      <c r="K580" t="str">
        <f>_xlfn.XLOOKUP(C580,dim_BMI!$C$2:$C$7,dim_BMI!$B$2:$B$7,,1)</f>
        <v>25.0 to 29.9 (Overweight)</v>
      </c>
    </row>
    <row r="581" spans="1:11" x14ac:dyDescent="0.25">
      <c r="A581" s="1">
        <v>349</v>
      </c>
      <c r="B581">
        <v>36</v>
      </c>
      <c r="C581">
        <v>29.92</v>
      </c>
      <c r="D581">
        <v>1</v>
      </c>
      <c r="E581">
        <f t="shared" si="9"/>
        <v>0</v>
      </c>
      <c r="F581">
        <v>5478.0367999999999</v>
      </c>
      <c r="G581" t="s">
        <v>12</v>
      </c>
      <c r="H581" t="s">
        <v>11</v>
      </c>
      <c r="I581" t="s">
        <v>7</v>
      </c>
      <c r="J581">
        <f>_xlfn.XLOOKUP(C581,dim_BMI!$C$2:$C$7,dim_BMI!$A$2:$A$7,,1)</f>
        <v>4</v>
      </c>
      <c r="K581" t="str">
        <f>_xlfn.XLOOKUP(C581,dim_BMI!$C$2:$C$7,dim_BMI!$B$2:$B$7,,1)</f>
        <v>30.0 to 34.9 (Obesity Class 1)</v>
      </c>
    </row>
    <row r="582" spans="1:11" x14ac:dyDescent="0.25">
      <c r="A582" s="1">
        <v>418</v>
      </c>
      <c r="B582">
        <v>36</v>
      </c>
      <c r="C582">
        <v>22.6</v>
      </c>
      <c r="D582">
        <v>2</v>
      </c>
      <c r="E582">
        <f t="shared" si="9"/>
        <v>1</v>
      </c>
      <c r="F582">
        <v>18608.261999999999</v>
      </c>
      <c r="G582" t="s">
        <v>9</v>
      </c>
      <c r="H582" t="s">
        <v>8</v>
      </c>
      <c r="I582" t="s">
        <v>7</v>
      </c>
      <c r="J582">
        <f>_xlfn.XLOOKUP(C582,dim_BMI!$C$2:$C$7,dim_BMI!$A$2:$A$7,,1)</f>
        <v>2</v>
      </c>
      <c r="K582" t="str">
        <f>_xlfn.XLOOKUP(C582,dim_BMI!$C$2:$C$7,dim_BMI!$B$2:$B$7,,1)</f>
        <v>18.5 to 24.9 (Healthy Weight)</v>
      </c>
    </row>
    <row r="583" spans="1:11" x14ac:dyDescent="0.25">
      <c r="A583" s="1">
        <v>627</v>
      </c>
      <c r="B583">
        <v>36</v>
      </c>
      <c r="C583">
        <v>28.88</v>
      </c>
      <c r="D583">
        <v>3</v>
      </c>
      <c r="E583">
        <f t="shared" si="9"/>
        <v>0</v>
      </c>
      <c r="F583">
        <v>6748.5911999999998</v>
      </c>
      <c r="G583" t="s">
        <v>14</v>
      </c>
      <c r="H583" t="s">
        <v>11</v>
      </c>
      <c r="I583" t="s">
        <v>10</v>
      </c>
      <c r="J583">
        <f>_xlfn.XLOOKUP(C583,dim_BMI!$C$2:$C$7,dim_BMI!$A$2:$A$7,,1)</f>
        <v>3</v>
      </c>
      <c r="K583" t="str">
        <f>_xlfn.XLOOKUP(C583,dim_BMI!$C$2:$C$7,dim_BMI!$B$2:$B$7,,1)</f>
        <v>25.0 to 29.9 (Overweight)</v>
      </c>
    </row>
    <row r="584" spans="1:11" x14ac:dyDescent="0.25">
      <c r="A584" s="1">
        <v>673</v>
      </c>
      <c r="B584">
        <v>36</v>
      </c>
      <c r="C584">
        <v>29.7</v>
      </c>
      <c r="D584">
        <v>0</v>
      </c>
      <c r="E584">
        <f t="shared" si="9"/>
        <v>0</v>
      </c>
      <c r="F584">
        <v>4399.7309999999998</v>
      </c>
      <c r="G584" t="s">
        <v>12</v>
      </c>
      <c r="H584" t="s">
        <v>11</v>
      </c>
      <c r="I584" t="s">
        <v>10</v>
      </c>
      <c r="J584">
        <f>_xlfn.XLOOKUP(C584,dim_BMI!$C$2:$C$7,dim_BMI!$A$2:$A$7,,1)</f>
        <v>3</v>
      </c>
      <c r="K584" t="str">
        <f>_xlfn.XLOOKUP(C584,dim_BMI!$C$2:$C$7,dim_BMI!$B$2:$B$7,,1)</f>
        <v>25.0 to 29.9 (Overweight)</v>
      </c>
    </row>
    <row r="585" spans="1:11" x14ac:dyDescent="0.25">
      <c r="A585" s="1">
        <v>710</v>
      </c>
      <c r="B585">
        <v>36</v>
      </c>
      <c r="C585">
        <v>27.74</v>
      </c>
      <c r="D585">
        <v>0</v>
      </c>
      <c r="E585">
        <f t="shared" si="9"/>
        <v>0</v>
      </c>
      <c r="F585">
        <v>5469.0065999999997</v>
      </c>
      <c r="G585" t="s">
        <v>14</v>
      </c>
      <c r="H585" t="s">
        <v>11</v>
      </c>
      <c r="I585" t="s">
        <v>7</v>
      </c>
      <c r="J585">
        <f>_xlfn.XLOOKUP(C585,dim_BMI!$C$2:$C$7,dim_BMI!$A$2:$A$7,,1)</f>
        <v>3</v>
      </c>
      <c r="K585" t="str">
        <f>_xlfn.XLOOKUP(C585,dim_BMI!$C$2:$C$7,dim_BMI!$B$2:$B$7,,1)</f>
        <v>25.0 to 29.9 (Overweight)</v>
      </c>
    </row>
    <row r="586" spans="1:11" x14ac:dyDescent="0.25">
      <c r="A586" s="1">
        <v>815</v>
      </c>
      <c r="B586">
        <v>36</v>
      </c>
      <c r="C586">
        <v>34.43</v>
      </c>
      <c r="D586">
        <v>2</v>
      </c>
      <c r="E586">
        <f t="shared" si="9"/>
        <v>0</v>
      </c>
      <c r="F586">
        <v>5584.3056999999999</v>
      </c>
      <c r="G586" t="s">
        <v>12</v>
      </c>
      <c r="H586" t="s">
        <v>11</v>
      </c>
      <c r="I586" t="s">
        <v>10</v>
      </c>
      <c r="J586">
        <f>_xlfn.XLOOKUP(C586,dim_BMI!$C$2:$C$7,dim_BMI!$A$2:$A$7,,1)</f>
        <v>4</v>
      </c>
      <c r="K586" t="str">
        <f>_xlfn.XLOOKUP(C586,dim_BMI!$C$2:$C$7,dim_BMI!$B$2:$B$7,,1)</f>
        <v>30.0 to 34.9 (Obesity Class 1)</v>
      </c>
    </row>
    <row r="587" spans="1:11" x14ac:dyDescent="0.25">
      <c r="A587" s="1">
        <v>828</v>
      </c>
      <c r="B587">
        <v>36</v>
      </c>
      <c r="C587">
        <v>28.024999999999999</v>
      </c>
      <c r="D587">
        <v>1</v>
      </c>
      <c r="E587">
        <f t="shared" si="9"/>
        <v>1</v>
      </c>
      <c r="F587">
        <v>20773.62775</v>
      </c>
      <c r="G587" t="s">
        <v>14</v>
      </c>
      <c r="H587" t="s">
        <v>8</v>
      </c>
      <c r="I587" t="s">
        <v>10</v>
      </c>
      <c r="J587">
        <f>_xlfn.XLOOKUP(C587,dim_BMI!$C$2:$C$7,dim_BMI!$A$2:$A$7,,1)</f>
        <v>3</v>
      </c>
      <c r="K587" t="str">
        <f>_xlfn.XLOOKUP(C587,dim_BMI!$C$2:$C$7,dim_BMI!$B$2:$B$7,,1)</f>
        <v>25.0 to 29.9 (Overweight)</v>
      </c>
    </row>
    <row r="588" spans="1:11" x14ac:dyDescent="0.25">
      <c r="A588" s="1">
        <v>832</v>
      </c>
      <c r="B588">
        <v>36</v>
      </c>
      <c r="C588">
        <v>25.84</v>
      </c>
      <c r="D588">
        <v>0</v>
      </c>
      <c r="E588">
        <f t="shared" si="9"/>
        <v>0</v>
      </c>
      <c r="F588">
        <v>5266.3656000000001</v>
      </c>
      <c r="G588" t="s">
        <v>13</v>
      </c>
      <c r="H588" t="s">
        <v>11</v>
      </c>
      <c r="I588" t="s">
        <v>7</v>
      </c>
      <c r="J588">
        <f>_xlfn.XLOOKUP(C588,dim_BMI!$C$2:$C$7,dim_BMI!$A$2:$A$7,,1)</f>
        <v>3</v>
      </c>
      <c r="K588" t="str">
        <f>_xlfn.XLOOKUP(C588,dim_BMI!$C$2:$C$7,dim_BMI!$B$2:$B$7,,1)</f>
        <v>25.0 to 29.9 (Overweight)</v>
      </c>
    </row>
    <row r="589" spans="1:11" x14ac:dyDescent="0.25">
      <c r="A589" s="1">
        <v>835</v>
      </c>
      <c r="B589">
        <v>36</v>
      </c>
      <c r="C589">
        <v>33.82</v>
      </c>
      <c r="D589">
        <v>1</v>
      </c>
      <c r="E589">
        <f t="shared" si="9"/>
        <v>0</v>
      </c>
      <c r="F589">
        <v>5377.4578000000001</v>
      </c>
      <c r="G589" t="s">
        <v>13</v>
      </c>
      <c r="H589" t="s">
        <v>11</v>
      </c>
      <c r="I589" t="s">
        <v>10</v>
      </c>
      <c r="J589">
        <f>_xlfn.XLOOKUP(C589,dim_BMI!$C$2:$C$7,dim_BMI!$A$2:$A$7,,1)</f>
        <v>4</v>
      </c>
      <c r="K589" t="str">
        <f>_xlfn.XLOOKUP(C589,dim_BMI!$C$2:$C$7,dim_BMI!$B$2:$B$7,,1)</f>
        <v>30.0 to 34.9 (Obesity Class 1)</v>
      </c>
    </row>
    <row r="590" spans="1:11" x14ac:dyDescent="0.25">
      <c r="A590" s="1">
        <v>837</v>
      </c>
      <c r="B590">
        <v>36</v>
      </c>
      <c r="C590">
        <v>31.5</v>
      </c>
      <c r="D590">
        <v>0</v>
      </c>
      <c r="E590">
        <f t="shared" si="9"/>
        <v>0</v>
      </c>
      <c r="F590">
        <v>4402.2330000000002</v>
      </c>
      <c r="G590" t="s">
        <v>9</v>
      </c>
      <c r="H590" t="s">
        <v>11</v>
      </c>
      <c r="I590" t="s">
        <v>10</v>
      </c>
      <c r="J590">
        <f>_xlfn.XLOOKUP(C590,dim_BMI!$C$2:$C$7,dim_BMI!$A$2:$A$7,,1)</f>
        <v>4</v>
      </c>
      <c r="K590" t="str">
        <f>_xlfn.XLOOKUP(C590,dim_BMI!$C$2:$C$7,dim_BMI!$B$2:$B$7,,1)</f>
        <v>30.0 to 34.9 (Obesity Class 1)</v>
      </c>
    </row>
    <row r="591" spans="1:11" x14ac:dyDescent="0.25">
      <c r="A591" s="1">
        <v>864</v>
      </c>
      <c r="B591">
        <v>36</v>
      </c>
      <c r="C591">
        <v>19.855</v>
      </c>
      <c r="D591">
        <v>0</v>
      </c>
      <c r="E591">
        <f t="shared" si="9"/>
        <v>0</v>
      </c>
      <c r="F591">
        <v>5458.0464499999998</v>
      </c>
      <c r="G591" t="s">
        <v>14</v>
      </c>
      <c r="H591" t="s">
        <v>11</v>
      </c>
      <c r="I591" t="s">
        <v>7</v>
      </c>
      <c r="J591">
        <f>_xlfn.XLOOKUP(C591,dim_BMI!$C$2:$C$7,dim_BMI!$A$2:$A$7,,1)</f>
        <v>2</v>
      </c>
      <c r="K591" t="str">
        <f>_xlfn.XLOOKUP(C591,dim_BMI!$C$2:$C$7,dim_BMI!$B$2:$B$7,,1)</f>
        <v>18.5 to 24.9 (Healthy Weight)</v>
      </c>
    </row>
    <row r="592" spans="1:11" x14ac:dyDescent="0.25">
      <c r="A592" s="1">
        <v>888</v>
      </c>
      <c r="B592">
        <v>36</v>
      </c>
      <c r="C592">
        <v>30.02</v>
      </c>
      <c r="D592">
        <v>0</v>
      </c>
      <c r="E592">
        <f t="shared" si="9"/>
        <v>0</v>
      </c>
      <c r="F592">
        <v>5272.1758</v>
      </c>
      <c r="G592" t="s">
        <v>13</v>
      </c>
      <c r="H592" t="s">
        <v>11</v>
      </c>
      <c r="I592" t="s">
        <v>7</v>
      </c>
      <c r="J592">
        <f>_xlfn.XLOOKUP(C592,dim_BMI!$C$2:$C$7,dim_BMI!$A$2:$A$7,,1)</f>
        <v>4</v>
      </c>
      <c r="K592" t="str">
        <f>_xlfn.XLOOKUP(C592,dim_BMI!$C$2:$C$7,dim_BMI!$B$2:$B$7,,1)</f>
        <v>30.0 to 34.9 (Obesity Class 1)</v>
      </c>
    </row>
    <row r="593" spans="1:11" x14ac:dyDescent="0.25">
      <c r="A593" s="1">
        <v>892</v>
      </c>
      <c r="B593">
        <v>36</v>
      </c>
      <c r="C593">
        <v>29.04</v>
      </c>
      <c r="D593">
        <v>4</v>
      </c>
      <c r="E593">
        <f t="shared" si="9"/>
        <v>0</v>
      </c>
      <c r="F593">
        <v>7243.8136000000004</v>
      </c>
      <c r="G593" t="s">
        <v>12</v>
      </c>
      <c r="H593" t="s">
        <v>11</v>
      </c>
      <c r="I593" t="s">
        <v>7</v>
      </c>
      <c r="J593">
        <f>_xlfn.XLOOKUP(C593,dim_BMI!$C$2:$C$7,dim_BMI!$A$2:$A$7,,1)</f>
        <v>3</v>
      </c>
      <c r="K593" t="str">
        <f>_xlfn.XLOOKUP(C593,dim_BMI!$C$2:$C$7,dim_BMI!$B$2:$B$7,,1)</f>
        <v>25.0 to 29.9 (Overweight)</v>
      </c>
    </row>
    <row r="594" spans="1:11" x14ac:dyDescent="0.25">
      <c r="A594" s="1">
        <v>980</v>
      </c>
      <c r="B594">
        <v>36</v>
      </c>
      <c r="C594">
        <v>29.92</v>
      </c>
      <c r="D594">
        <v>0</v>
      </c>
      <c r="E594">
        <f t="shared" si="9"/>
        <v>0</v>
      </c>
      <c r="F594">
        <v>4889.0367999999999</v>
      </c>
      <c r="G594" t="s">
        <v>12</v>
      </c>
      <c r="H594" t="s">
        <v>11</v>
      </c>
      <c r="I594" t="s">
        <v>7</v>
      </c>
      <c r="J594">
        <f>_xlfn.XLOOKUP(C594,dim_BMI!$C$2:$C$7,dim_BMI!$A$2:$A$7,,1)</f>
        <v>4</v>
      </c>
      <c r="K594" t="str">
        <f>_xlfn.XLOOKUP(C594,dim_BMI!$C$2:$C$7,dim_BMI!$B$2:$B$7,,1)</f>
        <v>30.0 to 34.9 (Obesity Class 1)</v>
      </c>
    </row>
    <row r="595" spans="1:11" x14ac:dyDescent="0.25">
      <c r="A595" s="1">
        <v>1000</v>
      </c>
      <c r="B595">
        <v>36</v>
      </c>
      <c r="C595">
        <v>26.885000000000002</v>
      </c>
      <c r="D595">
        <v>0</v>
      </c>
      <c r="E595">
        <f t="shared" si="9"/>
        <v>0</v>
      </c>
      <c r="F595">
        <v>5267.8181500000001</v>
      </c>
      <c r="G595" t="s">
        <v>13</v>
      </c>
      <c r="H595" t="s">
        <v>11</v>
      </c>
      <c r="I595" t="s">
        <v>7</v>
      </c>
      <c r="J595">
        <f>_xlfn.XLOOKUP(C595,dim_BMI!$C$2:$C$7,dim_BMI!$A$2:$A$7,,1)</f>
        <v>3</v>
      </c>
      <c r="K595" t="str">
        <f>_xlfn.XLOOKUP(C595,dim_BMI!$C$2:$C$7,dim_BMI!$B$2:$B$7,,1)</f>
        <v>25.0 to 29.9 (Overweight)</v>
      </c>
    </row>
    <row r="596" spans="1:11" x14ac:dyDescent="0.25">
      <c r="A596" s="1">
        <v>1064</v>
      </c>
      <c r="B596">
        <v>36</v>
      </c>
      <c r="C596">
        <v>28.594999999999999</v>
      </c>
      <c r="D596">
        <v>3</v>
      </c>
      <c r="E596">
        <f t="shared" si="9"/>
        <v>0</v>
      </c>
      <c r="F596">
        <v>6548.1950500000003</v>
      </c>
      <c r="G596" t="s">
        <v>13</v>
      </c>
      <c r="H596" t="s">
        <v>11</v>
      </c>
      <c r="I596" t="s">
        <v>10</v>
      </c>
      <c r="J596">
        <f>_xlfn.XLOOKUP(C596,dim_BMI!$C$2:$C$7,dim_BMI!$A$2:$A$7,,1)</f>
        <v>3</v>
      </c>
      <c r="K596" t="str">
        <f>_xlfn.XLOOKUP(C596,dim_BMI!$C$2:$C$7,dim_BMI!$B$2:$B$7,,1)</f>
        <v>25.0 to 29.9 (Overweight)</v>
      </c>
    </row>
    <row r="597" spans="1:11" x14ac:dyDescent="0.25">
      <c r="A597" s="1">
        <v>1156</v>
      </c>
      <c r="B597">
        <v>36</v>
      </c>
      <c r="C597">
        <v>22.135000000000002</v>
      </c>
      <c r="D597">
        <v>3</v>
      </c>
      <c r="E597">
        <f t="shared" si="9"/>
        <v>0</v>
      </c>
      <c r="F597">
        <v>7228.2156500000001</v>
      </c>
      <c r="G597" t="s">
        <v>14</v>
      </c>
      <c r="H597" t="s">
        <v>11</v>
      </c>
      <c r="I597" t="s">
        <v>7</v>
      </c>
      <c r="J597">
        <f>_xlfn.XLOOKUP(C597,dim_BMI!$C$2:$C$7,dim_BMI!$A$2:$A$7,,1)</f>
        <v>2</v>
      </c>
      <c r="K597" t="str">
        <f>_xlfn.XLOOKUP(C597,dim_BMI!$C$2:$C$7,dim_BMI!$B$2:$B$7,,1)</f>
        <v>18.5 to 24.9 (Healthy Weight)</v>
      </c>
    </row>
    <row r="598" spans="1:11" x14ac:dyDescent="0.25">
      <c r="A598" s="1">
        <v>1208</v>
      </c>
      <c r="B598">
        <v>36</v>
      </c>
      <c r="C598">
        <v>33.4</v>
      </c>
      <c r="D598">
        <v>2</v>
      </c>
      <c r="E598">
        <f t="shared" si="9"/>
        <v>1</v>
      </c>
      <c r="F598">
        <v>38415.474000000002</v>
      </c>
      <c r="G598" t="s">
        <v>9</v>
      </c>
      <c r="H598" t="s">
        <v>8</v>
      </c>
      <c r="I598" t="s">
        <v>10</v>
      </c>
      <c r="J598">
        <f>_xlfn.XLOOKUP(C598,dim_BMI!$C$2:$C$7,dim_BMI!$A$2:$A$7,,1)</f>
        <v>4</v>
      </c>
      <c r="K598" t="str">
        <f>_xlfn.XLOOKUP(C598,dim_BMI!$C$2:$C$7,dim_BMI!$B$2:$B$7,,1)</f>
        <v>30.0 to 34.9 (Obesity Class 1)</v>
      </c>
    </row>
    <row r="599" spans="1:11" x14ac:dyDescent="0.25">
      <c r="A599" s="1">
        <v>1211</v>
      </c>
      <c r="B599">
        <v>36</v>
      </c>
      <c r="C599">
        <v>30.875</v>
      </c>
      <c r="D599">
        <v>1</v>
      </c>
      <c r="E599">
        <f t="shared" si="9"/>
        <v>0</v>
      </c>
      <c r="F599">
        <v>5373.3642499999996</v>
      </c>
      <c r="G599" t="s">
        <v>13</v>
      </c>
      <c r="H599" t="s">
        <v>11</v>
      </c>
      <c r="I599" t="s">
        <v>10</v>
      </c>
      <c r="J599">
        <f>_xlfn.XLOOKUP(C599,dim_BMI!$C$2:$C$7,dim_BMI!$A$2:$A$7,,1)</f>
        <v>4</v>
      </c>
      <c r="K599" t="str">
        <f>_xlfn.XLOOKUP(C599,dim_BMI!$C$2:$C$7,dim_BMI!$B$2:$B$7,,1)</f>
        <v>30.0 to 34.9 (Obesity Class 1)</v>
      </c>
    </row>
    <row r="600" spans="1:11" x14ac:dyDescent="0.25">
      <c r="A600" s="1">
        <v>1288</v>
      </c>
      <c r="B600">
        <v>36</v>
      </c>
      <c r="C600">
        <v>25.9</v>
      </c>
      <c r="D600">
        <v>1</v>
      </c>
      <c r="E600">
        <f t="shared" si="9"/>
        <v>0</v>
      </c>
      <c r="F600">
        <v>5472.4489999999996</v>
      </c>
      <c r="G600" t="s">
        <v>9</v>
      </c>
      <c r="H600" t="s">
        <v>11</v>
      </c>
      <c r="I600" t="s">
        <v>7</v>
      </c>
      <c r="J600">
        <f>_xlfn.XLOOKUP(C600,dim_BMI!$C$2:$C$7,dim_BMI!$A$2:$A$7,,1)</f>
        <v>3</v>
      </c>
      <c r="K600" t="str">
        <f>_xlfn.XLOOKUP(C600,dim_BMI!$C$2:$C$7,dim_BMI!$B$2:$B$7,,1)</f>
        <v>25.0 to 29.9 (Overweight)</v>
      </c>
    </row>
    <row r="601" spans="1:11" x14ac:dyDescent="0.25">
      <c r="A601" s="1">
        <v>8</v>
      </c>
      <c r="B601">
        <v>37</v>
      </c>
      <c r="C601">
        <v>27.74</v>
      </c>
      <c r="D601">
        <v>3</v>
      </c>
      <c r="E601">
        <f t="shared" si="9"/>
        <v>0</v>
      </c>
      <c r="F601">
        <v>7281.5056000000004</v>
      </c>
      <c r="G601" t="s">
        <v>13</v>
      </c>
      <c r="H601" t="s">
        <v>11</v>
      </c>
      <c r="I601" t="s">
        <v>7</v>
      </c>
      <c r="J601">
        <f>_xlfn.XLOOKUP(C601,dim_BMI!$C$2:$C$7,dim_BMI!$A$2:$A$7,,1)</f>
        <v>3</v>
      </c>
      <c r="K601" t="str">
        <f>_xlfn.XLOOKUP(C601,dim_BMI!$C$2:$C$7,dim_BMI!$B$2:$B$7,,1)</f>
        <v>25.0 to 29.9 (Overweight)</v>
      </c>
    </row>
    <row r="602" spans="1:11" x14ac:dyDescent="0.25">
      <c r="A602" s="1">
        <v>9</v>
      </c>
      <c r="B602">
        <v>37</v>
      </c>
      <c r="C602">
        <v>29.83</v>
      </c>
      <c r="D602">
        <v>2</v>
      </c>
      <c r="E602">
        <f t="shared" si="9"/>
        <v>0</v>
      </c>
      <c r="F602">
        <v>6406.4107000000004</v>
      </c>
      <c r="G602" t="s">
        <v>14</v>
      </c>
      <c r="H602" t="s">
        <v>11</v>
      </c>
      <c r="I602" t="s">
        <v>10</v>
      </c>
      <c r="J602">
        <f>_xlfn.XLOOKUP(C602,dim_BMI!$C$2:$C$7,dim_BMI!$A$2:$A$7,,1)</f>
        <v>3</v>
      </c>
      <c r="K602" t="str">
        <f>_xlfn.XLOOKUP(C602,dim_BMI!$C$2:$C$7,dim_BMI!$B$2:$B$7,,1)</f>
        <v>25.0 to 29.9 (Overweight)</v>
      </c>
    </row>
    <row r="603" spans="1:11" x14ac:dyDescent="0.25">
      <c r="A603" s="1">
        <v>25</v>
      </c>
      <c r="B603">
        <v>37</v>
      </c>
      <c r="C603">
        <v>28.024999999999999</v>
      </c>
      <c r="D603">
        <v>2</v>
      </c>
      <c r="E603">
        <f t="shared" si="9"/>
        <v>0</v>
      </c>
      <c r="F603">
        <v>6203.90175</v>
      </c>
      <c r="G603" t="s">
        <v>13</v>
      </c>
      <c r="H603" t="s">
        <v>11</v>
      </c>
      <c r="I603" t="s">
        <v>10</v>
      </c>
      <c r="J603">
        <f>_xlfn.XLOOKUP(C603,dim_BMI!$C$2:$C$7,dim_BMI!$A$2:$A$7,,1)</f>
        <v>3</v>
      </c>
      <c r="K603" t="str">
        <f>_xlfn.XLOOKUP(C603,dim_BMI!$C$2:$C$7,dim_BMI!$B$2:$B$7,,1)</f>
        <v>25.0 to 29.9 (Overweight)</v>
      </c>
    </row>
    <row r="604" spans="1:11" x14ac:dyDescent="0.25">
      <c r="A604" s="1">
        <v>44</v>
      </c>
      <c r="B604">
        <v>37</v>
      </c>
      <c r="C604">
        <v>30.8</v>
      </c>
      <c r="D604">
        <v>2</v>
      </c>
      <c r="E604">
        <f t="shared" si="9"/>
        <v>0</v>
      </c>
      <c r="F604">
        <v>6313.759</v>
      </c>
      <c r="G604" t="s">
        <v>12</v>
      </c>
      <c r="H604" t="s">
        <v>11</v>
      </c>
      <c r="I604" t="s">
        <v>7</v>
      </c>
      <c r="J604">
        <f>_xlfn.XLOOKUP(C604,dim_BMI!$C$2:$C$7,dim_BMI!$A$2:$A$7,,1)</f>
        <v>4</v>
      </c>
      <c r="K604" t="str">
        <f>_xlfn.XLOOKUP(C604,dim_BMI!$C$2:$C$7,dim_BMI!$B$2:$B$7,,1)</f>
        <v>30.0 to 34.9 (Obesity Class 1)</v>
      </c>
    </row>
    <row r="605" spans="1:11" x14ac:dyDescent="0.25">
      <c r="A605" s="1">
        <v>85</v>
      </c>
      <c r="B605">
        <v>37</v>
      </c>
      <c r="C605">
        <v>34.799999999999997</v>
      </c>
      <c r="D605">
        <v>2</v>
      </c>
      <c r="E605">
        <f t="shared" si="9"/>
        <v>1</v>
      </c>
      <c r="F605">
        <v>39836.519</v>
      </c>
      <c r="G605" t="s">
        <v>9</v>
      </c>
      <c r="H605" t="s">
        <v>8</v>
      </c>
      <c r="I605" t="s">
        <v>7</v>
      </c>
      <c r="J605">
        <f>_xlfn.XLOOKUP(C605,dim_BMI!$C$2:$C$7,dim_BMI!$A$2:$A$7,,1)</f>
        <v>4</v>
      </c>
      <c r="K605" t="str">
        <f>_xlfn.XLOOKUP(C605,dim_BMI!$C$2:$C$7,dim_BMI!$B$2:$B$7,,1)</f>
        <v>30.0 to 34.9 (Obesity Class 1)</v>
      </c>
    </row>
    <row r="606" spans="1:11" x14ac:dyDescent="0.25">
      <c r="A606" s="1">
        <v>113</v>
      </c>
      <c r="B606">
        <v>37</v>
      </c>
      <c r="C606">
        <v>30.8</v>
      </c>
      <c r="D606">
        <v>0</v>
      </c>
      <c r="E606">
        <f t="shared" si="9"/>
        <v>0</v>
      </c>
      <c r="F606">
        <v>4646.759</v>
      </c>
      <c r="G606" t="s">
        <v>9</v>
      </c>
      <c r="H606" t="s">
        <v>11</v>
      </c>
      <c r="I606" t="s">
        <v>10</v>
      </c>
      <c r="J606">
        <f>_xlfn.XLOOKUP(C606,dim_BMI!$C$2:$C$7,dim_BMI!$A$2:$A$7,,1)</f>
        <v>4</v>
      </c>
      <c r="K606" t="str">
        <f>_xlfn.XLOOKUP(C606,dim_BMI!$C$2:$C$7,dim_BMI!$B$2:$B$7,,1)</f>
        <v>30.0 to 34.9 (Obesity Class 1)</v>
      </c>
    </row>
    <row r="607" spans="1:11" x14ac:dyDescent="0.25">
      <c r="A607" s="1">
        <v>120</v>
      </c>
      <c r="B607">
        <v>37</v>
      </c>
      <c r="C607">
        <v>23.37</v>
      </c>
      <c r="D607">
        <v>2</v>
      </c>
      <c r="E607">
        <f t="shared" si="9"/>
        <v>0</v>
      </c>
      <c r="F607">
        <v>6686.4313000000002</v>
      </c>
      <c r="G607" t="s">
        <v>13</v>
      </c>
      <c r="H607" t="s">
        <v>11</v>
      </c>
      <c r="I607" t="s">
        <v>7</v>
      </c>
      <c r="J607">
        <f>_xlfn.XLOOKUP(C607,dim_BMI!$C$2:$C$7,dim_BMI!$A$2:$A$7,,1)</f>
        <v>2</v>
      </c>
      <c r="K607" t="str">
        <f>_xlfn.XLOOKUP(C607,dim_BMI!$C$2:$C$7,dim_BMI!$B$2:$B$7,,1)</f>
        <v>18.5 to 24.9 (Healthy Weight)</v>
      </c>
    </row>
    <row r="608" spans="1:11" x14ac:dyDescent="0.25">
      <c r="A608" s="1">
        <v>165</v>
      </c>
      <c r="B608">
        <v>37</v>
      </c>
      <c r="C608">
        <v>29.64</v>
      </c>
      <c r="D608">
        <v>0</v>
      </c>
      <c r="E608">
        <f t="shared" si="9"/>
        <v>0</v>
      </c>
      <c r="F608">
        <v>5028.1466</v>
      </c>
      <c r="G608" t="s">
        <v>13</v>
      </c>
      <c r="H608" t="s">
        <v>11</v>
      </c>
      <c r="I608" t="s">
        <v>10</v>
      </c>
      <c r="J608">
        <f>_xlfn.XLOOKUP(C608,dim_BMI!$C$2:$C$7,dim_BMI!$A$2:$A$7,,1)</f>
        <v>3</v>
      </c>
      <c r="K608" t="str">
        <f>_xlfn.XLOOKUP(C608,dim_BMI!$C$2:$C$7,dim_BMI!$B$2:$B$7,,1)</f>
        <v>25.0 to 29.9 (Overweight)</v>
      </c>
    </row>
    <row r="609" spans="1:11" x14ac:dyDescent="0.25">
      <c r="A609" s="1">
        <v>506</v>
      </c>
      <c r="B609">
        <v>37</v>
      </c>
      <c r="C609">
        <v>30.875</v>
      </c>
      <c r="D609">
        <v>3</v>
      </c>
      <c r="E609">
        <f t="shared" si="9"/>
        <v>0</v>
      </c>
      <c r="F609">
        <v>6796.8632500000003</v>
      </c>
      <c r="G609" t="s">
        <v>13</v>
      </c>
      <c r="H609" t="s">
        <v>11</v>
      </c>
      <c r="I609" t="s">
        <v>10</v>
      </c>
      <c r="J609">
        <f>_xlfn.XLOOKUP(C609,dim_BMI!$C$2:$C$7,dim_BMI!$A$2:$A$7,,1)</f>
        <v>4</v>
      </c>
      <c r="K609" t="str">
        <f>_xlfn.XLOOKUP(C609,dim_BMI!$C$2:$C$7,dim_BMI!$B$2:$B$7,,1)</f>
        <v>30.0 to 34.9 (Obesity Class 1)</v>
      </c>
    </row>
    <row r="610" spans="1:11" x14ac:dyDescent="0.25">
      <c r="A610" s="1">
        <v>534</v>
      </c>
      <c r="B610">
        <v>37</v>
      </c>
      <c r="C610">
        <v>36.19</v>
      </c>
      <c r="D610">
        <v>0</v>
      </c>
      <c r="E610">
        <f t="shared" si="9"/>
        <v>0</v>
      </c>
      <c r="F610">
        <v>19214.705529999999</v>
      </c>
      <c r="G610" t="s">
        <v>12</v>
      </c>
      <c r="H610" t="s">
        <v>11</v>
      </c>
      <c r="I610" t="s">
        <v>10</v>
      </c>
      <c r="J610">
        <f>_xlfn.XLOOKUP(C610,dim_BMI!$C$2:$C$7,dim_BMI!$A$2:$A$7,,1)</f>
        <v>5</v>
      </c>
      <c r="K610" t="str">
        <f>_xlfn.XLOOKUP(C610,dim_BMI!$C$2:$C$7,dim_BMI!$B$2:$B$7,,1)</f>
        <v>35 to 39.9 (Obesity Class 2)</v>
      </c>
    </row>
    <row r="611" spans="1:11" x14ac:dyDescent="0.25">
      <c r="A611" s="1">
        <v>622</v>
      </c>
      <c r="B611">
        <v>37</v>
      </c>
      <c r="C611">
        <v>34.1</v>
      </c>
      <c r="D611">
        <v>4</v>
      </c>
      <c r="E611">
        <f t="shared" si="9"/>
        <v>1</v>
      </c>
      <c r="F611">
        <v>40182.245999999999</v>
      </c>
      <c r="G611" t="s">
        <v>9</v>
      </c>
      <c r="H611" t="s">
        <v>8</v>
      </c>
      <c r="I611" t="s">
        <v>10</v>
      </c>
      <c r="J611">
        <f>_xlfn.XLOOKUP(C611,dim_BMI!$C$2:$C$7,dim_BMI!$A$2:$A$7,,1)</f>
        <v>4</v>
      </c>
      <c r="K611" t="str">
        <f>_xlfn.XLOOKUP(C611,dim_BMI!$C$2:$C$7,dim_BMI!$B$2:$B$7,,1)</f>
        <v>30.0 to 34.9 (Obesity Class 1)</v>
      </c>
    </row>
    <row r="612" spans="1:11" x14ac:dyDescent="0.25">
      <c r="A612" s="1">
        <v>661</v>
      </c>
      <c r="B612">
        <v>37</v>
      </c>
      <c r="C612">
        <v>46.53</v>
      </c>
      <c r="D612">
        <v>3</v>
      </c>
      <c r="E612">
        <f t="shared" si="9"/>
        <v>0</v>
      </c>
      <c r="F612">
        <v>6435.6237000000001</v>
      </c>
      <c r="G612" t="s">
        <v>12</v>
      </c>
      <c r="H612" t="s">
        <v>11</v>
      </c>
      <c r="I612" t="s">
        <v>10</v>
      </c>
      <c r="J612">
        <f>_xlfn.XLOOKUP(C612,dim_BMI!$C$2:$C$7,dim_BMI!$A$2:$A$7,,1)</f>
        <v>6</v>
      </c>
      <c r="K612" t="str">
        <f>_xlfn.XLOOKUP(C612,dim_BMI!$C$2:$C$7,dim_BMI!$B$2:$B$7,,1)</f>
        <v>40 or higher (Severe Obesity Class 3)</v>
      </c>
    </row>
    <row r="613" spans="1:11" x14ac:dyDescent="0.25">
      <c r="A613" s="1">
        <v>737</v>
      </c>
      <c r="B613">
        <v>37</v>
      </c>
      <c r="C613">
        <v>38.39</v>
      </c>
      <c r="D613">
        <v>0</v>
      </c>
      <c r="E613">
        <f t="shared" si="9"/>
        <v>1</v>
      </c>
      <c r="F613">
        <v>40419.019099999998</v>
      </c>
      <c r="G613" t="s">
        <v>12</v>
      </c>
      <c r="H613" t="s">
        <v>8</v>
      </c>
      <c r="I613" t="s">
        <v>7</v>
      </c>
      <c r="J613">
        <f>_xlfn.XLOOKUP(C613,dim_BMI!$C$2:$C$7,dim_BMI!$A$2:$A$7,,1)</f>
        <v>5</v>
      </c>
      <c r="K613" t="str">
        <f>_xlfn.XLOOKUP(C613,dim_BMI!$C$2:$C$7,dim_BMI!$B$2:$B$7,,1)</f>
        <v>35 to 39.9 (Obesity Class 2)</v>
      </c>
    </row>
    <row r="614" spans="1:11" x14ac:dyDescent="0.25">
      <c r="A614" s="1">
        <v>751</v>
      </c>
      <c r="B614">
        <v>37</v>
      </c>
      <c r="C614">
        <v>26.4</v>
      </c>
      <c r="D614">
        <v>0</v>
      </c>
      <c r="E614">
        <f t="shared" si="9"/>
        <v>1</v>
      </c>
      <c r="F614">
        <v>19539.242999999999</v>
      </c>
      <c r="G614" t="s">
        <v>12</v>
      </c>
      <c r="H614" t="s">
        <v>8</v>
      </c>
      <c r="I614" t="s">
        <v>7</v>
      </c>
      <c r="J614">
        <f>_xlfn.XLOOKUP(C614,dim_BMI!$C$2:$C$7,dim_BMI!$A$2:$A$7,,1)</f>
        <v>3</v>
      </c>
      <c r="K614" t="str">
        <f>_xlfn.XLOOKUP(C614,dim_BMI!$C$2:$C$7,dim_BMI!$B$2:$B$7,,1)</f>
        <v>25.0 to 29.9 (Overweight)</v>
      </c>
    </row>
    <row r="615" spans="1:11" x14ac:dyDescent="0.25">
      <c r="A615" s="1">
        <v>851</v>
      </c>
      <c r="B615">
        <v>37</v>
      </c>
      <c r="C615">
        <v>30.78</v>
      </c>
      <c r="D615">
        <v>0</v>
      </c>
      <c r="E615">
        <f t="shared" si="9"/>
        <v>1</v>
      </c>
      <c r="F615">
        <v>37270.1512</v>
      </c>
      <c r="G615" t="s">
        <v>14</v>
      </c>
      <c r="H615" t="s">
        <v>8</v>
      </c>
      <c r="I615" t="s">
        <v>7</v>
      </c>
      <c r="J615">
        <f>_xlfn.XLOOKUP(C615,dim_BMI!$C$2:$C$7,dim_BMI!$A$2:$A$7,,1)</f>
        <v>4</v>
      </c>
      <c r="K615" t="str">
        <f>_xlfn.XLOOKUP(C615,dim_BMI!$C$2:$C$7,dim_BMI!$B$2:$B$7,,1)</f>
        <v>30.0 to 34.9 (Obesity Class 1)</v>
      </c>
    </row>
    <row r="616" spans="1:11" x14ac:dyDescent="0.25">
      <c r="A616" s="1">
        <v>861</v>
      </c>
      <c r="B616">
        <v>37</v>
      </c>
      <c r="C616">
        <v>47.6</v>
      </c>
      <c r="D616">
        <v>2</v>
      </c>
      <c r="E616">
        <f t="shared" si="9"/>
        <v>1</v>
      </c>
      <c r="F616">
        <v>46113.510999999999</v>
      </c>
      <c r="G616" t="s">
        <v>9</v>
      </c>
      <c r="H616" t="s">
        <v>8</v>
      </c>
      <c r="I616" t="s">
        <v>7</v>
      </c>
      <c r="J616">
        <f>_xlfn.XLOOKUP(C616,dim_BMI!$C$2:$C$7,dim_BMI!$A$2:$A$7,,1)</f>
        <v>6</v>
      </c>
      <c r="K616" t="str">
        <f>_xlfn.XLOOKUP(C616,dim_BMI!$C$2:$C$7,dim_BMI!$B$2:$B$7,,1)</f>
        <v>40 or higher (Severe Obesity Class 3)</v>
      </c>
    </row>
    <row r="617" spans="1:11" x14ac:dyDescent="0.25">
      <c r="A617" s="1">
        <v>880</v>
      </c>
      <c r="B617">
        <v>37</v>
      </c>
      <c r="C617">
        <v>29.5</v>
      </c>
      <c r="D617">
        <v>2</v>
      </c>
      <c r="E617">
        <f t="shared" si="9"/>
        <v>0</v>
      </c>
      <c r="F617">
        <v>6311.9520000000002</v>
      </c>
      <c r="G617" t="s">
        <v>9</v>
      </c>
      <c r="H617" t="s">
        <v>11</v>
      </c>
      <c r="I617" t="s">
        <v>7</v>
      </c>
      <c r="J617">
        <f>_xlfn.XLOOKUP(C617,dim_BMI!$C$2:$C$7,dim_BMI!$A$2:$A$7,,1)</f>
        <v>3</v>
      </c>
      <c r="K617" t="str">
        <f>_xlfn.XLOOKUP(C617,dim_BMI!$C$2:$C$7,dim_BMI!$B$2:$B$7,,1)</f>
        <v>25.0 to 29.9 (Overweight)</v>
      </c>
    </row>
    <row r="618" spans="1:11" x14ac:dyDescent="0.25">
      <c r="A618" s="1">
        <v>948</v>
      </c>
      <c r="B618">
        <v>37</v>
      </c>
      <c r="C618">
        <v>34.200000000000003</v>
      </c>
      <c r="D618">
        <v>1</v>
      </c>
      <c r="E618">
        <f t="shared" si="9"/>
        <v>1</v>
      </c>
      <c r="F618">
        <v>39047.285000000003</v>
      </c>
      <c r="G618" t="s">
        <v>14</v>
      </c>
      <c r="H618" t="s">
        <v>8</v>
      </c>
      <c r="I618" t="s">
        <v>10</v>
      </c>
      <c r="J618">
        <f>_xlfn.XLOOKUP(C618,dim_BMI!$C$2:$C$7,dim_BMI!$A$2:$A$7,,1)</f>
        <v>4</v>
      </c>
      <c r="K618" t="str">
        <f>_xlfn.XLOOKUP(C618,dim_BMI!$C$2:$C$7,dim_BMI!$B$2:$B$7,,1)</f>
        <v>30.0 to 34.9 (Obesity Class 1)</v>
      </c>
    </row>
    <row r="619" spans="1:11" x14ac:dyDescent="0.25">
      <c r="A619" s="1">
        <v>1030</v>
      </c>
      <c r="B619">
        <v>37</v>
      </c>
      <c r="C619">
        <v>17.29</v>
      </c>
      <c r="D619">
        <v>2</v>
      </c>
      <c r="E619">
        <f t="shared" si="9"/>
        <v>0</v>
      </c>
      <c r="F619">
        <v>6877.9800999999998</v>
      </c>
      <c r="G619" t="s">
        <v>14</v>
      </c>
      <c r="H619" t="s">
        <v>11</v>
      </c>
      <c r="I619" t="s">
        <v>7</v>
      </c>
      <c r="J619">
        <f>_xlfn.XLOOKUP(C619,dim_BMI!$C$2:$C$7,dim_BMI!$A$2:$A$7,,1)</f>
        <v>1</v>
      </c>
      <c r="K619" t="str">
        <f>_xlfn.XLOOKUP(C619,dim_BMI!$C$2:$C$7,dim_BMI!$B$2:$B$7,,1)</f>
        <v>18.49 or less (Underweight)</v>
      </c>
    </row>
    <row r="620" spans="1:11" x14ac:dyDescent="0.25">
      <c r="A620" s="1">
        <v>1071</v>
      </c>
      <c r="B620">
        <v>37</v>
      </c>
      <c r="C620">
        <v>37.07</v>
      </c>
      <c r="D620">
        <v>1</v>
      </c>
      <c r="E620">
        <f t="shared" si="9"/>
        <v>1</v>
      </c>
      <c r="F620">
        <v>39871.704299999998</v>
      </c>
      <c r="G620" t="s">
        <v>12</v>
      </c>
      <c r="H620" t="s">
        <v>8</v>
      </c>
      <c r="I620" t="s">
        <v>10</v>
      </c>
      <c r="J620">
        <f>_xlfn.XLOOKUP(C620,dim_BMI!$C$2:$C$7,dim_BMI!$A$2:$A$7,,1)</f>
        <v>5</v>
      </c>
      <c r="K620" t="str">
        <f>_xlfn.XLOOKUP(C620,dim_BMI!$C$2:$C$7,dim_BMI!$B$2:$B$7,,1)</f>
        <v>35 to 39.9 (Obesity Class 2)</v>
      </c>
    </row>
    <row r="621" spans="1:11" x14ac:dyDescent="0.25">
      <c r="A621" s="1">
        <v>1105</v>
      </c>
      <c r="B621">
        <v>37</v>
      </c>
      <c r="C621">
        <v>29.8</v>
      </c>
      <c r="D621">
        <v>0</v>
      </c>
      <c r="E621">
        <f t="shared" si="9"/>
        <v>0</v>
      </c>
      <c r="F621">
        <v>20420.604650000001</v>
      </c>
      <c r="G621" t="s">
        <v>9</v>
      </c>
      <c r="H621" t="s">
        <v>11</v>
      </c>
      <c r="I621" t="s">
        <v>10</v>
      </c>
      <c r="J621">
        <f>_xlfn.XLOOKUP(C621,dim_BMI!$C$2:$C$7,dim_BMI!$A$2:$A$7,,1)</f>
        <v>3</v>
      </c>
      <c r="K621" t="str">
        <f>_xlfn.XLOOKUP(C621,dim_BMI!$C$2:$C$7,dim_BMI!$B$2:$B$7,,1)</f>
        <v>25.0 to 29.9 (Overweight)</v>
      </c>
    </row>
    <row r="622" spans="1:11" x14ac:dyDescent="0.25">
      <c r="A622" s="1">
        <v>1170</v>
      </c>
      <c r="B622">
        <v>37</v>
      </c>
      <c r="C622">
        <v>34.104999999999997</v>
      </c>
      <c r="D622">
        <v>1</v>
      </c>
      <c r="E622">
        <f t="shared" si="9"/>
        <v>0</v>
      </c>
      <c r="F622">
        <v>6112.3529500000004</v>
      </c>
      <c r="G622" t="s">
        <v>13</v>
      </c>
      <c r="H622" t="s">
        <v>11</v>
      </c>
      <c r="I622" t="s">
        <v>7</v>
      </c>
      <c r="J622">
        <f>_xlfn.XLOOKUP(C622,dim_BMI!$C$2:$C$7,dim_BMI!$A$2:$A$7,,1)</f>
        <v>4</v>
      </c>
      <c r="K622" t="str">
        <f>_xlfn.XLOOKUP(C622,dim_BMI!$C$2:$C$7,dim_BMI!$B$2:$B$7,,1)</f>
        <v>30.0 to 34.9 (Obesity Class 1)</v>
      </c>
    </row>
    <row r="623" spans="1:11" x14ac:dyDescent="0.25">
      <c r="A623" s="1">
        <v>1201</v>
      </c>
      <c r="B623">
        <v>37</v>
      </c>
      <c r="C623">
        <v>24.32</v>
      </c>
      <c r="D623">
        <v>2</v>
      </c>
      <c r="E623">
        <f t="shared" si="9"/>
        <v>0</v>
      </c>
      <c r="F623">
        <v>6198.7518</v>
      </c>
      <c r="G623" t="s">
        <v>13</v>
      </c>
      <c r="H623" t="s">
        <v>11</v>
      </c>
      <c r="I623" t="s">
        <v>10</v>
      </c>
      <c r="J623">
        <f>_xlfn.XLOOKUP(C623,dim_BMI!$C$2:$C$7,dim_BMI!$A$2:$A$7,,1)</f>
        <v>2</v>
      </c>
      <c r="K623" t="str">
        <f>_xlfn.XLOOKUP(C623,dim_BMI!$C$2:$C$7,dim_BMI!$B$2:$B$7,,1)</f>
        <v>18.5 to 24.9 (Healthy Weight)</v>
      </c>
    </row>
    <row r="624" spans="1:11" x14ac:dyDescent="0.25">
      <c r="A624" s="1">
        <v>1209</v>
      </c>
      <c r="B624">
        <v>37</v>
      </c>
      <c r="C624">
        <v>25.555</v>
      </c>
      <c r="D624">
        <v>1</v>
      </c>
      <c r="E624">
        <f t="shared" si="9"/>
        <v>1</v>
      </c>
      <c r="F624">
        <v>20296.863450000001</v>
      </c>
      <c r="G624" t="s">
        <v>14</v>
      </c>
      <c r="H624" t="s">
        <v>8</v>
      </c>
      <c r="I624" t="s">
        <v>7</v>
      </c>
      <c r="J624">
        <f>_xlfn.XLOOKUP(C624,dim_BMI!$C$2:$C$7,dim_BMI!$A$2:$A$7,,1)</f>
        <v>3</v>
      </c>
      <c r="K624" t="str">
        <f>_xlfn.XLOOKUP(C624,dim_BMI!$C$2:$C$7,dim_BMI!$B$2:$B$7,,1)</f>
        <v>25.0 to 29.9 (Overweight)</v>
      </c>
    </row>
    <row r="625" spans="1:11" x14ac:dyDescent="0.25">
      <c r="A625" s="1">
        <v>1239</v>
      </c>
      <c r="B625">
        <v>37</v>
      </c>
      <c r="C625">
        <v>22.704999999999998</v>
      </c>
      <c r="D625">
        <v>3</v>
      </c>
      <c r="E625">
        <f t="shared" si="9"/>
        <v>0</v>
      </c>
      <c r="F625">
        <v>6985.50695</v>
      </c>
      <c r="G625" t="s">
        <v>14</v>
      </c>
      <c r="H625" t="s">
        <v>11</v>
      </c>
      <c r="I625" t="s">
        <v>10</v>
      </c>
      <c r="J625">
        <f>_xlfn.XLOOKUP(C625,dim_BMI!$C$2:$C$7,dim_BMI!$A$2:$A$7,,1)</f>
        <v>2</v>
      </c>
      <c r="K625" t="str">
        <f>_xlfn.XLOOKUP(C625,dim_BMI!$C$2:$C$7,dim_BMI!$B$2:$B$7,,1)</f>
        <v>18.5 to 24.9 (Healthy Weight)</v>
      </c>
    </row>
    <row r="626" spans="1:11" x14ac:dyDescent="0.25">
      <c r="A626" s="1">
        <v>45</v>
      </c>
      <c r="B626">
        <v>38</v>
      </c>
      <c r="C626">
        <v>37.049999999999997</v>
      </c>
      <c r="D626">
        <v>1</v>
      </c>
      <c r="E626">
        <f t="shared" si="9"/>
        <v>0</v>
      </c>
      <c r="F626">
        <v>6079.6715000000004</v>
      </c>
      <c r="G626" t="s">
        <v>14</v>
      </c>
      <c r="H626" t="s">
        <v>11</v>
      </c>
      <c r="I626" t="s">
        <v>10</v>
      </c>
      <c r="J626">
        <f>_xlfn.XLOOKUP(C626,dim_BMI!$C$2:$C$7,dim_BMI!$A$2:$A$7,,1)</f>
        <v>5</v>
      </c>
      <c r="K626" t="str">
        <f>_xlfn.XLOOKUP(C626,dim_BMI!$C$2:$C$7,dim_BMI!$B$2:$B$7,,1)</f>
        <v>35 to 39.9 (Obesity Class 2)</v>
      </c>
    </row>
    <row r="627" spans="1:11" x14ac:dyDescent="0.25">
      <c r="A627" s="1">
        <v>100</v>
      </c>
      <c r="B627">
        <v>38</v>
      </c>
      <c r="C627">
        <v>19.3</v>
      </c>
      <c r="D627">
        <v>0</v>
      </c>
      <c r="E627">
        <f t="shared" si="9"/>
        <v>1</v>
      </c>
      <c r="F627">
        <v>15820.699000000001</v>
      </c>
      <c r="G627" t="s">
        <v>9</v>
      </c>
      <c r="H627" t="s">
        <v>8</v>
      </c>
      <c r="I627" t="s">
        <v>10</v>
      </c>
      <c r="J627">
        <f>_xlfn.XLOOKUP(C627,dim_BMI!$C$2:$C$7,dim_BMI!$A$2:$A$7,,1)</f>
        <v>2</v>
      </c>
      <c r="K627" t="str">
        <f>_xlfn.XLOOKUP(C627,dim_BMI!$C$2:$C$7,dim_BMI!$B$2:$B$7,,1)</f>
        <v>18.5 to 24.9 (Healthy Weight)</v>
      </c>
    </row>
    <row r="628" spans="1:11" x14ac:dyDescent="0.25">
      <c r="A628" s="1">
        <v>130</v>
      </c>
      <c r="B628">
        <v>38</v>
      </c>
      <c r="C628">
        <v>34.700000000000003</v>
      </c>
      <c r="D628">
        <v>2</v>
      </c>
      <c r="E628">
        <f t="shared" si="9"/>
        <v>0</v>
      </c>
      <c r="F628">
        <v>6082.4049999999997</v>
      </c>
      <c r="G628" t="s">
        <v>9</v>
      </c>
      <c r="H628" t="s">
        <v>11</v>
      </c>
      <c r="I628" t="s">
        <v>10</v>
      </c>
      <c r="J628">
        <f>_xlfn.XLOOKUP(C628,dim_BMI!$C$2:$C$7,dim_BMI!$A$2:$A$7,,1)</f>
        <v>4</v>
      </c>
      <c r="K628" t="str">
        <f>_xlfn.XLOOKUP(C628,dim_BMI!$C$2:$C$7,dim_BMI!$B$2:$B$7,,1)</f>
        <v>30.0 to 34.9 (Obesity Class 1)</v>
      </c>
    </row>
    <row r="629" spans="1:11" x14ac:dyDescent="0.25">
      <c r="A629" s="1">
        <v>177</v>
      </c>
      <c r="B629">
        <v>38</v>
      </c>
      <c r="C629">
        <v>27.835000000000001</v>
      </c>
      <c r="D629">
        <v>2</v>
      </c>
      <c r="E629">
        <f t="shared" si="9"/>
        <v>0</v>
      </c>
      <c r="F629">
        <v>6455.86265</v>
      </c>
      <c r="G629" t="s">
        <v>13</v>
      </c>
      <c r="H629" t="s">
        <v>11</v>
      </c>
      <c r="I629" t="s">
        <v>10</v>
      </c>
      <c r="J629">
        <f>_xlfn.XLOOKUP(C629,dim_BMI!$C$2:$C$7,dim_BMI!$A$2:$A$7,,1)</f>
        <v>3</v>
      </c>
      <c r="K629" t="str">
        <f>_xlfn.XLOOKUP(C629,dim_BMI!$C$2:$C$7,dim_BMI!$B$2:$B$7,,1)</f>
        <v>25.0 to 29.9 (Overweight)</v>
      </c>
    </row>
    <row r="630" spans="1:11" x14ac:dyDescent="0.25">
      <c r="A630" s="1">
        <v>258</v>
      </c>
      <c r="B630">
        <v>38</v>
      </c>
      <c r="C630">
        <v>40.15</v>
      </c>
      <c r="D630">
        <v>0</v>
      </c>
      <c r="E630">
        <f t="shared" si="9"/>
        <v>0</v>
      </c>
      <c r="F630">
        <v>5400.9804999999997</v>
      </c>
      <c r="G630" t="s">
        <v>12</v>
      </c>
      <c r="H630" t="s">
        <v>11</v>
      </c>
      <c r="I630" t="s">
        <v>7</v>
      </c>
      <c r="J630">
        <f>_xlfn.XLOOKUP(C630,dim_BMI!$C$2:$C$7,dim_BMI!$A$2:$A$7,,1)</f>
        <v>6</v>
      </c>
      <c r="K630" t="str">
        <f>_xlfn.XLOOKUP(C630,dim_BMI!$C$2:$C$7,dim_BMI!$B$2:$B$7,,1)</f>
        <v>40 or higher (Severe Obesity Class 3)</v>
      </c>
    </row>
    <row r="631" spans="1:11" x14ac:dyDescent="0.25">
      <c r="A631" s="1">
        <v>409</v>
      </c>
      <c r="B631">
        <v>38</v>
      </c>
      <c r="C631">
        <v>21.12</v>
      </c>
      <c r="D631">
        <v>3</v>
      </c>
      <c r="E631">
        <f t="shared" si="9"/>
        <v>0</v>
      </c>
      <c r="F631">
        <v>6652.5288</v>
      </c>
      <c r="G631" t="s">
        <v>12</v>
      </c>
      <c r="H631" t="s">
        <v>11</v>
      </c>
      <c r="I631" t="s">
        <v>10</v>
      </c>
      <c r="J631">
        <f>_xlfn.XLOOKUP(C631,dim_BMI!$C$2:$C$7,dim_BMI!$A$2:$A$7,,1)</f>
        <v>2</v>
      </c>
      <c r="K631" t="str">
        <f>_xlfn.XLOOKUP(C631,dim_BMI!$C$2:$C$7,dim_BMI!$B$2:$B$7,,1)</f>
        <v>18.5 to 24.9 (Healthy Weight)</v>
      </c>
    </row>
    <row r="632" spans="1:11" x14ac:dyDescent="0.25">
      <c r="A632" s="1">
        <v>427</v>
      </c>
      <c r="B632">
        <v>38</v>
      </c>
      <c r="C632">
        <v>27.265000000000001</v>
      </c>
      <c r="D632">
        <v>1</v>
      </c>
      <c r="E632">
        <f t="shared" si="9"/>
        <v>0</v>
      </c>
      <c r="F632">
        <v>6555.07035</v>
      </c>
      <c r="G632" t="s">
        <v>14</v>
      </c>
      <c r="H632" t="s">
        <v>11</v>
      </c>
      <c r="I632" t="s">
        <v>7</v>
      </c>
      <c r="J632">
        <f>_xlfn.XLOOKUP(C632,dim_BMI!$C$2:$C$7,dim_BMI!$A$2:$A$7,,1)</f>
        <v>3</v>
      </c>
      <c r="K632" t="str">
        <f>_xlfn.XLOOKUP(C632,dim_BMI!$C$2:$C$7,dim_BMI!$B$2:$B$7,,1)</f>
        <v>25.0 to 29.9 (Overweight)</v>
      </c>
    </row>
    <row r="633" spans="1:11" x14ac:dyDescent="0.25">
      <c r="A633" s="1">
        <v>505</v>
      </c>
      <c r="B633">
        <v>38</v>
      </c>
      <c r="C633">
        <v>28.93</v>
      </c>
      <c r="D633">
        <v>1</v>
      </c>
      <c r="E633">
        <f t="shared" si="9"/>
        <v>0</v>
      </c>
      <c r="F633">
        <v>5974.3846999999996</v>
      </c>
      <c r="G633" t="s">
        <v>12</v>
      </c>
      <c r="H633" t="s">
        <v>11</v>
      </c>
      <c r="I633" t="s">
        <v>7</v>
      </c>
      <c r="J633">
        <f>_xlfn.XLOOKUP(C633,dim_BMI!$C$2:$C$7,dim_BMI!$A$2:$A$7,,1)</f>
        <v>3</v>
      </c>
      <c r="K633" t="str">
        <f>_xlfn.XLOOKUP(C633,dim_BMI!$C$2:$C$7,dim_BMI!$B$2:$B$7,,1)</f>
        <v>25.0 to 29.9 (Overweight)</v>
      </c>
    </row>
    <row r="634" spans="1:11" x14ac:dyDescent="0.25">
      <c r="A634" s="1">
        <v>524</v>
      </c>
      <c r="B634">
        <v>38</v>
      </c>
      <c r="C634">
        <v>37.729999999999997</v>
      </c>
      <c r="D634">
        <v>0</v>
      </c>
      <c r="E634">
        <f t="shared" si="9"/>
        <v>0</v>
      </c>
      <c r="F634">
        <v>5397.6166999999996</v>
      </c>
      <c r="G634" t="s">
        <v>12</v>
      </c>
      <c r="H634" t="s">
        <v>11</v>
      </c>
      <c r="I634" t="s">
        <v>7</v>
      </c>
      <c r="J634">
        <f>_xlfn.XLOOKUP(C634,dim_BMI!$C$2:$C$7,dim_BMI!$A$2:$A$7,,1)</f>
        <v>5</v>
      </c>
      <c r="K634" t="str">
        <f>_xlfn.XLOOKUP(C634,dim_BMI!$C$2:$C$7,dim_BMI!$B$2:$B$7,,1)</f>
        <v>35 to 39.9 (Obesity Class 2)</v>
      </c>
    </row>
    <row r="635" spans="1:11" x14ac:dyDescent="0.25">
      <c r="A635" s="1">
        <v>536</v>
      </c>
      <c r="B635">
        <v>38</v>
      </c>
      <c r="C635">
        <v>28.024999999999999</v>
      </c>
      <c r="D635">
        <v>1</v>
      </c>
      <c r="E635">
        <f t="shared" si="9"/>
        <v>0</v>
      </c>
      <c r="F635">
        <v>6067.1267500000004</v>
      </c>
      <c r="G635" t="s">
        <v>14</v>
      </c>
      <c r="H635" t="s">
        <v>11</v>
      </c>
      <c r="I635" t="s">
        <v>10</v>
      </c>
      <c r="J635">
        <f>_xlfn.XLOOKUP(C635,dim_BMI!$C$2:$C$7,dim_BMI!$A$2:$A$7,,1)</f>
        <v>3</v>
      </c>
      <c r="K635" t="str">
        <f>_xlfn.XLOOKUP(C635,dim_BMI!$C$2:$C$7,dim_BMI!$B$2:$B$7,,1)</f>
        <v>25.0 to 29.9 (Overweight)</v>
      </c>
    </row>
    <row r="636" spans="1:11" x14ac:dyDescent="0.25">
      <c r="A636" s="1">
        <v>567</v>
      </c>
      <c r="B636">
        <v>38</v>
      </c>
      <c r="C636">
        <v>40.564999999999998</v>
      </c>
      <c r="D636">
        <v>1</v>
      </c>
      <c r="E636">
        <f t="shared" si="9"/>
        <v>0</v>
      </c>
      <c r="F636">
        <v>6373.55735</v>
      </c>
      <c r="G636" t="s">
        <v>13</v>
      </c>
      <c r="H636" t="s">
        <v>11</v>
      </c>
      <c r="I636" t="s">
        <v>7</v>
      </c>
      <c r="J636">
        <f>_xlfn.XLOOKUP(C636,dim_BMI!$C$2:$C$7,dim_BMI!$A$2:$A$7,,1)</f>
        <v>6</v>
      </c>
      <c r="K636" t="str">
        <f>_xlfn.XLOOKUP(C636,dim_BMI!$C$2:$C$7,dim_BMI!$B$2:$B$7,,1)</f>
        <v>40 or higher (Severe Obesity Class 3)</v>
      </c>
    </row>
    <row r="637" spans="1:11" x14ac:dyDescent="0.25">
      <c r="A637" s="1">
        <v>590</v>
      </c>
      <c r="B637">
        <v>38</v>
      </c>
      <c r="C637">
        <v>30.69</v>
      </c>
      <c r="D637">
        <v>1</v>
      </c>
      <c r="E637">
        <f t="shared" si="9"/>
        <v>0</v>
      </c>
      <c r="F637">
        <v>5976.8311000000003</v>
      </c>
      <c r="G637" t="s">
        <v>12</v>
      </c>
      <c r="H637" t="s">
        <v>11</v>
      </c>
      <c r="I637" t="s">
        <v>7</v>
      </c>
      <c r="J637">
        <f>_xlfn.XLOOKUP(C637,dim_BMI!$C$2:$C$7,dim_BMI!$A$2:$A$7,,1)</f>
        <v>4</v>
      </c>
      <c r="K637" t="str">
        <f>_xlfn.XLOOKUP(C637,dim_BMI!$C$2:$C$7,dim_BMI!$B$2:$B$7,,1)</f>
        <v>30.0 to 34.9 (Obesity Class 1)</v>
      </c>
    </row>
    <row r="638" spans="1:11" x14ac:dyDescent="0.25">
      <c r="A638" s="1">
        <v>612</v>
      </c>
      <c r="B638">
        <v>38</v>
      </c>
      <c r="C638">
        <v>34.799999999999997</v>
      </c>
      <c r="D638">
        <v>2</v>
      </c>
      <c r="E638">
        <f t="shared" si="9"/>
        <v>0</v>
      </c>
      <c r="F638">
        <v>6571.5439999999999</v>
      </c>
      <c r="G638" t="s">
        <v>9</v>
      </c>
      <c r="H638" t="s">
        <v>11</v>
      </c>
      <c r="I638" t="s">
        <v>7</v>
      </c>
      <c r="J638">
        <f>_xlfn.XLOOKUP(C638,dim_BMI!$C$2:$C$7,dim_BMI!$A$2:$A$7,,1)</f>
        <v>4</v>
      </c>
      <c r="K638" t="str">
        <f>_xlfn.XLOOKUP(C638,dim_BMI!$C$2:$C$7,dim_BMI!$B$2:$B$7,,1)</f>
        <v>30.0 to 34.9 (Obesity Class 1)</v>
      </c>
    </row>
    <row r="639" spans="1:11" x14ac:dyDescent="0.25">
      <c r="A639" s="1">
        <v>770</v>
      </c>
      <c r="B639">
        <v>38</v>
      </c>
      <c r="C639">
        <v>19.475000000000001</v>
      </c>
      <c r="D639">
        <v>2</v>
      </c>
      <c r="E639">
        <f t="shared" si="9"/>
        <v>0</v>
      </c>
      <c r="F639">
        <v>6933.2422500000002</v>
      </c>
      <c r="G639" t="s">
        <v>13</v>
      </c>
      <c r="H639" t="s">
        <v>11</v>
      </c>
      <c r="I639" t="s">
        <v>7</v>
      </c>
      <c r="J639">
        <f>_xlfn.XLOOKUP(C639,dim_BMI!$C$2:$C$7,dim_BMI!$A$2:$A$7,,1)</f>
        <v>2</v>
      </c>
      <c r="K639" t="str">
        <f>_xlfn.XLOOKUP(C639,dim_BMI!$C$2:$C$7,dim_BMI!$B$2:$B$7,,1)</f>
        <v>18.5 to 24.9 (Healthy Weight)</v>
      </c>
    </row>
    <row r="640" spans="1:11" x14ac:dyDescent="0.25">
      <c r="A640" s="1">
        <v>862</v>
      </c>
      <c r="B640">
        <v>38</v>
      </c>
      <c r="C640">
        <v>28</v>
      </c>
      <c r="D640">
        <v>3</v>
      </c>
      <c r="E640">
        <f t="shared" si="9"/>
        <v>0</v>
      </c>
      <c r="F640">
        <v>7151.0919999999996</v>
      </c>
      <c r="G640" t="s">
        <v>9</v>
      </c>
      <c r="H640" t="s">
        <v>11</v>
      </c>
      <c r="I640" t="s">
        <v>7</v>
      </c>
      <c r="J640">
        <f>_xlfn.XLOOKUP(C640,dim_BMI!$C$2:$C$7,dim_BMI!$A$2:$A$7,,1)</f>
        <v>3</v>
      </c>
      <c r="K640" t="str">
        <f>_xlfn.XLOOKUP(C640,dim_BMI!$C$2:$C$7,dim_BMI!$B$2:$B$7,,1)</f>
        <v>25.0 to 29.9 (Overweight)</v>
      </c>
    </row>
    <row r="641" spans="1:11" x14ac:dyDescent="0.25">
      <c r="A641" s="1">
        <v>923</v>
      </c>
      <c r="B641">
        <v>38</v>
      </c>
      <c r="C641">
        <v>31</v>
      </c>
      <c r="D641">
        <v>1</v>
      </c>
      <c r="E641">
        <f t="shared" si="9"/>
        <v>0</v>
      </c>
      <c r="F641">
        <v>5488.2619999999997</v>
      </c>
      <c r="G641" t="s">
        <v>9</v>
      </c>
      <c r="H641" t="s">
        <v>11</v>
      </c>
      <c r="I641" t="s">
        <v>10</v>
      </c>
      <c r="J641">
        <f>_xlfn.XLOOKUP(C641,dim_BMI!$C$2:$C$7,dim_BMI!$A$2:$A$7,,1)</f>
        <v>4</v>
      </c>
      <c r="K641" t="str">
        <f>_xlfn.XLOOKUP(C641,dim_BMI!$C$2:$C$7,dim_BMI!$B$2:$B$7,,1)</f>
        <v>30.0 to 34.9 (Obesity Class 1)</v>
      </c>
    </row>
    <row r="642" spans="1:11" x14ac:dyDescent="0.25">
      <c r="A642" s="1">
        <v>992</v>
      </c>
      <c r="B642">
        <v>38</v>
      </c>
      <c r="C642">
        <v>27.835000000000001</v>
      </c>
      <c r="D642">
        <v>2</v>
      </c>
      <c r="E642">
        <f t="shared" si="9"/>
        <v>0</v>
      </c>
      <c r="F642">
        <v>7144.86265</v>
      </c>
      <c r="G642" t="s">
        <v>14</v>
      </c>
      <c r="H642" t="s">
        <v>11</v>
      </c>
      <c r="I642" t="s">
        <v>7</v>
      </c>
      <c r="J642">
        <f>_xlfn.XLOOKUP(C642,dim_BMI!$C$2:$C$7,dim_BMI!$A$2:$A$7,,1)</f>
        <v>3</v>
      </c>
      <c r="K642" t="str">
        <f>_xlfn.XLOOKUP(C642,dim_BMI!$C$2:$C$7,dim_BMI!$B$2:$B$7,,1)</f>
        <v>25.0 to 29.9 (Overweight)</v>
      </c>
    </row>
    <row r="643" spans="1:11" x14ac:dyDescent="0.25">
      <c r="A643" s="1">
        <v>994</v>
      </c>
      <c r="B643">
        <v>38</v>
      </c>
      <c r="C643">
        <v>28.27</v>
      </c>
      <c r="D643">
        <v>1</v>
      </c>
      <c r="E643">
        <f t="shared" ref="E643:E706" si="10">IF(H643="yes",1,0)</f>
        <v>0</v>
      </c>
      <c r="F643">
        <v>5484.4673000000003</v>
      </c>
      <c r="G643" t="s">
        <v>12</v>
      </c>
      <c r="H643" t="s">
        <v>11</v>
      </c>
      <c r="I643" t="s">
        <v>10</v>
      </c>
      <c r="J643">
        <f>_xlfn.XLOOKUP(C643,dim_BMI!$C$2:$C$7,dim_BMI!$A$2:$A$7,,1)</f>
        <v>3</v>
      </c>
      <c r="K643" t="str">
        <f>_xlfn.XLOOKUP(C643,dim_BMI!$C$2:$C$7,dim_BMI!$B$2:$B$7,,1)</f>
        <v>25.0 to 29.9 (Overweight)</v>
      </c>
    </row>
    <row r="644" spans="1:11" x14ac:dyDescent="0.25">
      <c r="A644" s="1">
        <v>1015</v>
      </c>
      <c r="B644">
        <v>38</v>
      </c>
      <c r="C644">
        <v>27.6</v>
      </c>
      <c r="D644">
        <v>0</v>
      </c>
      <c r="E644">
        <f t="shared" si="10"/>
        <v>0</v>
      </c>
      <c r="F644">
        <v>5383.5360000000001</v>
      </c>
      <c r="G644" t="s">
        <v>9</v>
      </c>
      <c r="H644" t="s">
        <v>11</v>
      </c>
      <c r="I644" t="s">
        <v>7</v>
      </c>
      <c r="J644">
        <f>_xlfn.XLOOKUP(C644,dim_BMI!$C$2:$C$7,dim_BMI!$A$2:$A$7,,1)</f>
        <v>3</v>
      </c>
      <c r="K644" t="str">
        <f>_xlfn.XLOOKUP(C644,dim_BMI!$C$2:$C$7,dim_BMI!$B$2:$B$7,,1)</f>
        <v>25.0 to 29.9 (Overweight)</v>
      </c>
    </row>
    <row r="645" spans="1:11" x14ac:dyDescent="0.25">
      <c r="A645" s="1">
        <v>1083</v>
      </c>
      <c r="B645">
        <v>38</v>
      </c>
      <c r="C645">
        <v>19.95</v>
      </c>
      <c r="D645">
        <v>1</v>
      </c>
      <c r="E645">
        <f t="shared" si="10"/>
        <v>0</v>
      </c>
      <c r="F645">
        <v>5855.9025000000001</v>
      </c>
      <c r="G645" t="s">
        <v>13</v>
      </c>
      <c r="H645" t="s">
        <v>11</v>
      </c>
      <c r="I645" t="s">
        <v>10</v>
      </c>
      <c r="J645">
        <f>_xlfn.XLOOKUP(C645,dim_BMI!$C$2:$C$7,dim_BMI!$A$2:$A$7,,1)</f>
        <v>2</v>
      </c>
      <c r="K645" t="str">
        <f>_xlfn.XLOOKUP(C645,dim_BMI!$C$2:$C$7,dim_BMI!$B$2:$B$7,,1)</f>
        <v>18.5 to 24.9 (Healthy Weight)</v>
      </c>
    </row>
    <row r="646" spans="1:11" x14ac:dyDescent="0.25">
      <c r="A646" s="1">
        <v>1112</v>
      </c>
      <c r="B646">
        <v>38</v>
      </c>
      <c r="C646">
        <v>38.39</v>
      </c>
      <c r="D646">
        <v>3</v>
      </c>
      <c r="E646">
        <f t="shared" si="10"/>
        <v>1</v>
      </c>
      <c r="F646">
        <v>41949.244100000004</v>
      </c>
      <c r="G646" t="s">
        <v>12</v>
      </c>
      <c r="H646" t="s">
        <v>8</v>
      </c>
      <c r="I646" t="s">
        <v>10</v>
      </c>
      <c r="J646">
        <f>_xlfn.XLOOKUP(C646,dim_BMI!$C$2:$C$7,dim_BMI!$A$2:$A$7,,1)</f>
        <v>5</v>
      </c>
      <c r="K646" t="str">
        <f>_xlfn.XLOOKUP(C646,dim_BMI!$C$2:$C$7,dim_BMI!$B$2:$B$7,,1)</f>
        <v>35 to 39.9 (Obesity Class 2)</v>
      </c>
    </row>
    <row r="647" spans="1:11" x14ac:dyDescent="0.25">
      <c r="A647" s="1">
        <v>1174</v>
      </c>
      <c r="B647">
        <v>38</v>
      </c>
      <c r="C647">
        <v>29.26</v>
      </c>
      <c r="D647">
        <v>2</v>
      </c>
      <c r="E647">
        <f t="shared" si="10"/>
        <v>0</v>
      </c>
      <c r="F647">
        <v>6457.8433999999997</v>
      </c>
      <c r="G647" t="s">
        <v>13</v>
      </c>
      <c r="H647" t="s">
        <v>11</v>
      </c>
      <c r="I647" t="s">
        <v>10</v>
      </c>
      <c r="J647">
        <f>_xlfn.XLOOKUP(C647,dim_BMI!$C$2:$C$7,dim_BMI!$A$2:$A$7,,1)</f>
        <v>3</v>
      </c>
      <c r="K647" t="str">
        <f>_xlfn.XLOOKUP(C647,dim_BMI!$C$2:$C$7,dim_BMI!$B$2:$B$7,,1)</f>
        <v>25.0 to 29.9 (Overweight)</v>
      </c>
    </row>
    <row r="648" spans="1:11" x14ac:dyDescent="0.25">
      <c r="A648" s="1">
        <v>1220</v>
      </c>
      <c r="B648">
        <v>38</v>
      </c>
      <c r="C648">
        <v>30.21</v>
      </c>
      <c r="D648">
        <v>3</v>
      </c>
      <c r="E648">
        <f t="shared" si="10"/>
        <v>0</v>
      </c>
      <c r="F648">
        <v>7537.1638999999996</v>
      </c>
      <c r="G648" t="s">
        <v>13</v>
      </c>
      <c r="H648" t="s">
        <v>11</v>
      </c>
      <c r="I648" t="s">
        <v>7</v>
      </c>
      <c r="J648">
        <f>_xlfn.XLOOKUP(C648,dim_BMI!$C$2:$C$7,dim_BMI!$A$2:$A$7,,1)</f>
        <v>4</v>
      </c>
      <c r="K648" t="str">
        <f>_xlfn.XLOOKUP(C648,dim_BMI!$C$2:$C$7,dim_BMI!$B$2:$B$7,,1)</f>
        <v>30.0 to 34.9 (Obesity Class 1)</v>
      </c>
    </row>
    <row r="649" spans="1:11" x14ac:dyDescent="0.25">
      <c r="A649" s="1">
        <v>1227</v>
      </c>
      <c r="B649">
        <v>38</v>
      </c>
      <c r="C649">
        <v>16.815000000000001</v>
      </c>
      <c r="D649">
        <v>2</v>
      </c>
      <c r="E649">
        <f t="shared" si="10"/>
        <v>0</v>
      </c>
      <c r="F649">
        <v>6640.5448500000002</v>
      </c>
      <c r="G649" t="s">
        <v>14</v>
      </c>
      <c r="H649" t="s">
        <v>11</v>
      </c>
      <c r="I649" t="s">
        <v>10</v>
      </c>
      <c r="J649">
        <f>_xlfn.XLOOKUP(C649,dim_BMI!$C$2:$C$7,dim_BMI!$A$2:$A$7,,1)</f>
        <v>1</v>
      </c>
      <c r="K649" t="str">
        <f>_xlfn.XLOOKUP(C649,dim_BMI!$C$2:$C$7,dim_BMI!$B$2:$B$7,,1)</f>
        <v>18.49 or less (Underweight)</v>
      </c>
    </row>
    <row r="650" spans="1:11" x14ac:dyDescent="0.25">
      <c r="A650" s="1">
        <v>1291</v>
      </c>
      <c r="B650">
        <v>38</v>
      </c>
      <c r="C650">
        <v>19.95</v>
      </c>
      <c r="D650">
        <v>2</v>
      </c>
      <c r="E650">
        <f t="shared" si="10"/>
        <v>0</v>
      </c>
      <c r="F650">
        <v>7133.9025000000001</v>
      </c>
      <c r="G650" t="s">
        <v>14</v>
      </c>
      <c r="H650" t="s">
        <v>11</v>
      </c>
      <c r="I650" t="s">
        <v>7</v>
      </c>
      <c r="J650">
        <f>_xlfn.XLOOKUP(C650,dim_BMI!$C$2:$C$7,dim_BMI!$A$2:$A$7,,1)</f>
        <v>2</v>
      </c>
      <c r="K650" t="str">
        <f>_xlfn.XLOOKUP(C650,dim_BMI!$C$2:$C$7,dim_BMI!$B$2:$B$7,,1)</f>
        <v>18.5 to 24.9 (Healthy Weight)</v>
      </c>
    </row>
    <row r="651" spans="1:11" x14ac:dyDescent="0.25">
      <c r="A651" s="1">
        <v>197</v>
      </c>
      <c r="B651">
        <v>39</v>
      </c>
      <c r="C651">
        <v>32.799999999999997</v>
      </c>
      <c r="D651">
        <v>0</v>
      </c>
      <c r="E651">
        <f t="shared" si="10"/>
        <v>0</v>
      </c>
      <c r="F651">
        <v>5649.7150000000001</v>
      </c>
      <c r="G651" t="s">
        <v>9</v>
      </c>
      <c r="H651" t="s">
        <v>11</v>
      </c>
      <c r="I651" t="s">
        <v>7</v>
      </c>
      <c r="J651">
        <f>_xlfn.XLOOKUP(C651,dim_BMI!$C$2:$C$7,dim_BMI!$A$2:$A$7,,1)</f>
        <v>4</v>
      </c>
      <c r="K651" t="str">
        <f>_xlfn.XLOOKUP(C651,dim_BMI!$C$2:$C$7,dim_BMI!$B$2:$B$7,,1)</f>
        <v>30.0 to 34.9 (Obesity Class 1)</v>
      </c>
    </row>
    <row r="652" spans="1:11" x14ac:dyDescent="0.25">
      <c r="A652" s="1">
        <v>235</v>
      </c>
      <c r="B652">
        <v>39</v>
      </c>
      <c r="C652">
        <v>24.51</v>
      </c>
      <c r="D652">
        <v>2</v>
      </c>
      <c r="E652">
        <f t="shared" si="10"/>
        <v>0</v>
      </c>
      <c r="F652">
        <v>6710.1918999999998</v>
      </c>
      <c r="G652" t="s">
        <v>13</v>
      </c>
      <c r="H652" t="s">
        <v>11</v>
      </c>
      <c r="I652" t="s">
        <v>10</v>
      </c>
      <c r="J652">
        <f>_xlfn.XLOOKUP(C652,dim_BMI!$C$2:$C$7,dim_BMI!$A$2:$A$7,,1)</f>
        <v>2</v>
      </c>
      <c r="K652" t="str">
        <f>_xlfn.XLOOKUP(C652,dim_BMI!$C$2:$C$7,dim_BMI!$B$2:$B$7,,1)</f>
        <v>18.5 to 24.9 (Healthy Weight)</v>
      </c>
    </row>
    <row r="653" spans="1:11" x14ac:dyDescent="0.25">
      <c r="A653" s="1">
        <v>377</v>
      </c>
      <c r="B653">
        <v>39</v>
      </c>
      <c r="C653">
        <v>24.89</v>
      </c>
      <c r="D653">
        <v>3</v>
      </c>
      <c r="E653">
        <f t="shared" si="10"/>
        <v>1</v>
      </c>
      <c r="F653">
        <v>21659.930100000001</v>
      </c>
      <c r="G653" t="s">
        <v>14</v>
      </c>
      <c r="H653" t="s">
        <v>8</v>
      </c>
      <c r="I653" t="s">
        <v>7</v>
      </c>
      <c r="J653">
        <f>_xlfn.XLOOKUP(C653,dim_BMI!$C$2:$C$7,dim_BMI!$A$2:$A$7,,1)</f>
        <v>2</v>
      </c>
      <c r="K653" t="str">
        <f>_xlfn.XLOOKUP(C653,dim_BMI!$C$2:$C$7,dim_BMI!$B$2:$B$7,,1)</f>
        <v>18.5 to 24.9 (Healthy Weight)</v>
      </c>
    </row>
    <row r="654" spans="1:11" x14ac:dyDescent="0.25">
      <c r="A654" s="1">
        <v>451</v>
      </c>
      <c r="B654">
        <v>39</v>
      </c>
      <c r="C654">
        <v>29.6</v>
      </c>
      <c r="D654">
        <v>4</v>
      </c>
      <c r="E654">
        <f t="shared" si="10"/>
        <v>0</v>
      </c>
      <c r="F654">
        <v>7512.2669999999998</v>
      </c>
      <c r="G654" t="s">
        <v>9</v>
      </c>
      <c r="H654" t="s">
        <v>11</v>
      </c>
      <c r="I654" t="s">
        <v>10</v>
      </c>
      <c r="J654">
        <f>_xlfn.XLOOKUP(C654,dim_BMI!$C$2:$C$7,dim_BMI!$A$2:$A$7,,1)</f>
        <v>3</v>
      </c>
      <c r="K654" t="str">
        <f>_xlfn.XLOOKUP(C654,dim_BMI!$C$2:$C$7,dim_BMI!$B$2:$B$7,,1)</f>
        <v>25.0 to 29.9 (Overweight)</v>
      </c>
    </row>
    <row r="655" spans="1:11" x14ac:dyDescent="0.25">
      <c r="A655" s="1">
        <v>515</v>
      </c>
      <c r="B655">
        <v>39</v>
      </c>
      <c r="C655">
        <v>28.3</v>
      </c>
      <c r="D655">
        <v>1</v>
      </c>
      <c r="E655">
        <f t="shared" si="10"/>
        <v>1</v>
      </c>
      <c r="F655">
        <v>21082.16</v>
      </c>
      <c r="G655" t="s">
        <v>9</v>
      </c>
      <c r="H655" t="s">
        <v>8</v>
      </c>
      <c r="I655" t="s">
        <v>10</v>
      </c>
      <c r="J655">
        <f>_xlfn.XLOOKUP(C655,dim_BMI!$C$2:$C$7,dim_BMI!$A$2:$A$7,,1)</f>
        <v>3</v>
      </c>
      <c r="K655" t="str">
        <f>_xlfn.XLOOKUP(C655,dim_BMI!$C$2:$C$7,dim_BMI!$B$2:$B$7,,1)</f>
        <v>25.0 to 29.9 (Overweight)</v>
      </c>
    </row>
    <row r="656" spans="1:11" x14ac:dyDescent="0.25">
      <c r="A656" s="1">
        <v>583</v>
      </c>
      <c r="B656">
        <v>39</v>
      </c>
      <c r="C656">
        <v>45.43</v>
      </c>
      <c r="D656">
        <v>2</v>
      </c>
      <c r="E656">
        <f t="shared" si="10"/>
        <v>0</v>
      </c>
      <c r="F656">
        <v>6356.2707</v>
      </c>
      <c r="G656" t="s">
        <v>12</v>
      </c>
      <c r="H656" t="s">
        <v>11</v>
      </c>
      <c r="I656" t="s">
        <v>10</v>
      </c>
      <c r="J656">
        <f>_xlfn.XLOOKUP(C656,dim_BMI!$C$2:$C$7,dim_BMI!$A$2:$A$7,,1)</f>
        <v>6</v>
      </c>
      <c r="K656" t="str">
        <f>_xlfn.XLOOKUP(C656,dim_BMI!$C$2:$C$7,dim_BMI!$B$2:$B$7,,1)</f>
        <v>40 or higher (Severe Obesity Class 3)</v>
      </c>
    </row>
    <row r="657" spans="1:11" x14ac:dyDescent="0.25">
      <c r="A657" s="1">
        <v>639</v>
      </c>
      <c r="B657">
        <v>39</v>
      </c>
      <c r="C657">
        <v>26.41</v>
      </c>
      <c r="D657">
        <v>0</v>
      </c>
      <c r="E657">
        <f t="shared" si="10"/>
        <v>1</v>
      </c>
      <c r="F657">
        <v>20149.322899999999</v>
      </c>
      <c r="G657" t="s">
        <v>14</v>
      </c>
      <c r="H657" t="s">
        <v>8</v>
      </c>
      <c r="I657" t="s">
        <v>10</v>
      </c>
      <c r="J657">
        <f>_xlfn.XLOOKUP(C657,dim_BMI!$C$2:$C$7,dim_BMI!$A$2:$A$7,,1)</f>
        <v>3</v>
      </c>
      <c r="K657" t="str">
        <f>_xlfn.XLOOKUP(C657,dim_BMI!$C$2:$C$7,dim_BMI!$B$2:$B$7,,1)</f>
        <v>25.0 to 29.9 (Overweight)</v>
      </c>
    </row>
    <row r="658" spans="1:11" x14ac:dyDescent="0.25">
      <c r="A658" s="1">
        <v>647</v>
      </c>
      <c r="B658">
        <v>39</v>
      </c>
      <c r="C658">
        <v>26.22</v>
      </c>
      <c r="D658">
        <v>1</v>
      </c>
      <c r="E658">
        <f t="shared" si="10"/>
        <v>0</v>
      </c>
      <c r="F658">
        <v>6123.5688</v>
      </c>
      <c r="G658" t="s">
        <v>13</v>
      </c>
      <c r="H658" t="s">
        <v>11</v>
      </c>
      <c r="I658" t="s">
        <v>10</v>
      </c>
      <c r="J658">
        <f>_xlfn.XLOOKUP(C658,dim_BMI!$C$2:$C$7,dim_BMI!$A$2:$A$7,,1)</f>
        <v>3</v>
      </c>
      <c r="K658" t="str">
        <f>_xlfn.XLOOKUP(C658,dim_BMI!$C$2:$C$7,dim_BMI!$B$2:$B$7,,1)</f>
        <v>25.0 to 29.9 (Overweight)</v>
      </c>
    </row>
    <row r="659" spans="1:11" x14ac:dyDescent="0.25">
      <c r="A659" s="1">
        <v>683</v>
      </c>
      <c r="B659">
        <v>39</v>
      </c>
      <c r="C659">
        <v>35.299999999999997</v>
      </c>
      <c r="D659">
        <v>2</v>
      </c>
      <c r="E659">
        <f t="shared" si="10"/>
        <v>1</v>
      </c>
      <c r="F659">
        <v>40103.89</v>
      </c>
      <c r="G659" t="s">
        <v>9</v>
      </c>
      <c r="H659" t="s">
        <v>8</v>
      </c>
      <c r="I659" t="s">
        <v>10</v>
      </c>
      <c r="J659">
        <f>_xlfn.XLOOKUP(C659,dim_BMI!$C$2:$C$7,dim_BMI!$A$2:$A$7,,1)</f>
        <v>5</v>
      </c>
      <c r="K659" t="str">
        <f>_xlfn.XLOOKUP(C659,dim_BMI!$C$2:$C$7,dim_BMI!$B$2:$B$7,,1)</f>
        <v>35 to 39.9 (Obesity Class 2)</v>
      </c>
    </row>
    <row r="660" spans="1:11" x14ac:dyDescent="0.25">
      <c r="A660" s="1">
        <v>757</v>
      </c>
      <c r="B660">
        <v>39</v>
      </c>
      <c r="C660">
        <v>22.8</v>
      </c>
      <c r="D660">
        <v>3</v>
      </c>
      <c r="E660">
        <f t="shared" si="10"/>
        <v>0</v>
      </c>
      <c r="F660">
        <v>7985.8149999999996</v>
      </c>
      <c r="G660" t="s">
        <v>14</v>
      </c>
      <c r="H660" t="s">
        <v>11</v>
      </c>
      <c r="I660" t="s">
        <v>7</v>
      </c>
      <c r="J660">
        <f>_xlfn.XLOOKUP(C660,dim_BMI!$C$2:$C$7,dim_BMI!$A$2:$A$7,,1)</f>
        <v>2</v>
      </c>
      <c r="K660" t="str">
        <f>_xlfn.XLOOKUP(C660,dim_BMI!$C$2:$C$7,dim_BMI!$B$2:$B$7,,1)</f>
        <v>18.5 to 24.9 (Healthy Weight)</v>
      </c>
    </row>
    <row r="661" spans="1:11" x14ac:dyDescent="0.25">
      <c r="A661" s="1">
        <v>791</v>
      </c>
      <c r="B661">
        <v>39</v>
      </c>
      <c r="C661">
        <v>41.8</v>
      </c>
      <c r="D661">
        <v>0</v>
      </c>
      <c r="E661">
        <f t="shared" si="10"/>
        <v>0</v>
      </c>
      <c r="F661">
        <v>5662.2250000000004</v>
      </c>
      <c r="G661" t="s">
        <v>12</v>
      </c>
      <c r="H661" t="s">
        <v>11</v>
      </c>
      <c r="I661" t="s">
        <v>7</v>
      </c>
      <c r="J661">
        <f>_xlfn.XLOOKUP(C661,dim_BMI!$C$2:$C$7,dim_BMI!$A$2:$A$7,,1)</f>
        <v>6</v>
      </c>
      <c r="K661" t="str">
        <f>_xlfn.XLOOKUP(C661,dim_BMI!$C$2:$C$7,dim_BMI!$B$2:$B$7,,1)</f>
        <v>40 or higher (Severe Obesity Class 3)</v>
      </c>
    </row>
    <row r="662" spans="1:11" x14ac:dyDescent="0.25">
      <c r="A662" s="1">
        <v>795</v>
      </c>
      <c r="B662">
        <v>39</v>
      </c>
      <c r="C662">
        <v>31.92</v>
      </c>
      <c r="D662">
        <v>2</v>
      </c>
      <c r="E662">
        <f t="shared" si="10"/>
        <v>0</v>
      </c>
      <c r="F662">
        <v>7209.4917999999998</v>
      </c>
      <c r="G662" t="s">
        <v>13</v>
      </c>
      <c r="H662" t="s">
        <v>11</v>
      </c>
      <c r="I662" t="s">
        <v>7</v>
      </c>
      <c r="J662">
        <f>_xlfn.XLOOKUP(C662,dim_BMI!$C$2:$C$7,dim_BMI!$A$2:$A$7,,1)</f>
        <v>4</v>
      </c>
      <c r="K662" t="str">
        <f>_xlfn.XLOOKUP(C662,dim_BMI!$C$2:$C$7,dim_BMI!$B$2:$B$7,,1)</f>
        <v>30.0 to 34.9 (Obesity Class 1)</v>
      </c>
    </row>
    <row r="663" spans="1:11" x14ac:dyDescent="0.25">
      <c r="A663" s="1">
        <v>830</v>
      </c>
      <c r="B663">
        <v>39</v>
      </c>
      <c r="C663">
        <v>21.85</v>
      </c>
      <c r="D663">
        <v>1</v>
      </c>
      <c r="E663">
        <f t="shared" si="10"/>
        <v>0</v>
      </c>
      <c r="F663">
        <v>6117.4944999999998</v>
      </c>
      <c r="G663" t="s">
        <v>13</v>
      </c>
      <c r="H663" t="s">
        <v>11</v>
      </c>
      <c r="I663" t="s">
        <v>10</v>
      </c>
      <c r="J663">
        <f>_xlfn.XLOOKUP(C663,dim_BMI!$C$2:$C$7,dim_BMI!$A$2:$A$7,,1)</f>
        <v>2</v>
      </c>
      <c r="K663" t="str">
        <f>_xlfn.XLOOKUP(C663,dim_BMI!$C$2:$C$7,dim_BMI!$B$2:$B$7,,1)</f>
        <v>18.5 to 24.9 (Healthy Weight)</v>
      </c>
    </row>
    <row r="664" spans="1:11" x14ac:dyDescent="0.25">
      <c r="A664" s="1">
        <v>932</v>
      </c>
      <c r="B664">
        <v>39</v>
      </c>
      <c r="C664">
        <v>32.5</v>
      </c>
      <c r="D664">
        <v>1</v>
      </c>
      <c r="E664">
        <f t="shared" si="10"/>
        <v>0</v>
      </c>
      <c r="F664">
        <v>6238.2979999999998</v>
      </c>
      <c r="G664" t="s">
        <v>9</v>
      </c>
      <c r="H664" t="s">
        <v>11</v>
      </c>
      <c r="I664" t="s">
        <v>7</v>
      </c>
      <c r="J664">
        <f>_xlfn.XLOOKUP(C664,dim_BMI!$C$2:$C$7,dim_BMI!$A$2:$A$7,,1)</f>
        <v>4</v>
      </c>
      <c r="K664" t="str">
        <f>_xlfn.XLOOKUP(C664,dim_BMI!$C$2:$C$7,dim_BMI!$B$2:$B$7,,1)</f>
        <v>30.0 to 34.9 (Obesity Class 1)</v>
      </c>
    </row>
    <row r="665" spans="1:11" x14ac:dyDescent="0.25">
      <c r="A665" s="1">
        <v>938</v>
      </c>
      <c r="B665">
        <v>39</v>
      </c>
      <c r="C665">
        <v>24.225000000000001</v>
      </c>
      <c r="D665">
        <v>5</v>
      </c>
      <c r="E665">
        <f t="shared" si="10"/>
        <v>0</v>
      </c>
      <c r="F665">
        <v>8965.7957499999993</v>
      </c>
      <c r="G665" t="s">
        <v>13</v>
      </c>
      <c r="H665" t="s">
        <v>11</v>
      </c>
      <c r="I665" t="s">
        <v>7</v>
      </c>
      <c r="J665">
        <f>_xlfn.XLOOKUP(C665,dim_BMI!$C$2:$C$7,dim_BMI!$A$2:$A$7,,1)</f>
        <v>2</v>
      </c>
      <c r="K665" t="str">
        <f>_xlfn.XLOOKUP(C665,dim_BMI!$C$2:$C$7,dim_BMI!$B$2:$B$7,,1)</f>
        <v>18.5 to 24.9 (Healthy Weight)</v>
      </c>
    </row>
    <row r="666" spans="1:11" x14ac:dyDescent="0.25">
      <c r="A666" s="1">
        <v>970</v>
      </c>
      <c r="B666">
        <v>39</v>
      </c>
      <c r="C666">
        <v>34.32</v>
      </c>
      <c r="D666">
        <v>5</v>
      </c>
      <c r="E666">
        <f t="shared" si="10"/>
        <v>0</v>
      </c>
      <c r="F666">
        <v>8596.8277999999991</v>
      </c>
      <c r="G666" t="s">
        <v>12</v>
      </c>
      <c r="H666" t="s">
        <v>11</v>
      </c>
      <c r="I666" t="s">
        <v>7</v>
      </c>
      <c r="J666">
        <f>_xlfn.XLOOKUP(C666,dim_BMI!$C$2:$C$7,dim_BMI!$A$2:$A$7,,1)</f>
        <v>4</v>
      </c>
      <c r="K666" t="str">
        <f>_xlfn.XLOOKUP(C666,dim_BMI!$C$2:$C$7,dim_BMI!$B$2:$B$7,,1)</f>
        <v>30.0 to 34.9 (Obesity Class 1)</v>
      </c>
    </row>
    <row r="667" spans="1:11" x14ac:dyDescent="0.25">
      <c r="A667" s="1">
        <v>996</v>
      </c>
      <c r="B667">
        <v>39</v>
      </c>
      <c r="C667">
        <v>23.274999999999999</v>
      </c>
      <c r="D667">
        <v>3</v>
      </c>
      <c r="E667">
        <f t="shared" si="10"/>
        <v>0</v>
      </c>
      <c r="F667">
        <v>7986.4752500000004</v>
      </c>
      <c r="G667" t="s">
        <v>14</v>
      </c>
      <c r="H667" t="s">
        <v>11</v>
      </c>
      <c r="I667" t="s">
        <v>7</v>
      </c>
      <c r="J667">
        <f>_xlfn.XLOOKUP(C667,dim_BMI!$C$2:$C$7,dim_BMI!$A$2:$A$7,,1)</f>
        <v>2</v>
      </c>
      <c r="K667" t="str">
        <f>_xlfn.XLOOKUP(C667,dim_BMI!$C$2:$C$7,dim_BMI!$B$2:$B$7,,1)</f>
        <v>18.5 to 24.9 (Healthy Weight)</v>
      </c>
    </row>
    <row r="668" spans="1:11" x14ac:dyDescent="0.25">
      <c r="A668" s="1">
        <v>997</v>
      </c>
      <c r="B668">
        <v>39</v>
      </c>
      <c r="C668">
        <v>34.1</v>
      </c>
      <c r="D668">
        <v>3</v>
      </c>
      <c r="E668">
        <f t="shared" si="10"/>
        <v>0</v>
      </c>
      <c r="F668">
        <v>7418.5219999999999</v>
      </c>
      <c r="G668" t="s">
        <v>9</v>
      </c>
      <c r="H668" t="s">
        <v>11</v>
      </c>
      <c r="I668" t="s">
        <v>7</v>
      </c>
      <c r="J668">
        <f>_xlfn.XLOOKUP(C668,dim_BMI!$C$2:$C$7,dim_BMI!$A$2:$A$7,,1)</f>
        <v>4</v>
      </c>
      <c r="K668" t="str">
        <f>_xlfn.XLOOKUP(C668,dim_BMI!$C$2:$C$7,dim_BMI!$B$2:$B$7,,1)</f>
        <v>30.0 to 34.9 (Obesity Class 1)</v>
      </c>
    </row>
    <row r="669" spans="1:11" x14ac:dyDescent="0.25">
      <c r="A669" s="1">
        <v>1068</v>
      </c>
      <c r="B669">
        <v>39</v>
      </c>
      <c r="C669">
        <v>42.655000000000001</v>
      </c>
      <c r="D669">
        <v>0</v>
      </c>
      <c r="E669">
        <f t="shared" si="10"/>
        <v>0</v>
      </c>
      <c r="F669">
        <v>5757.41345</v>
      </c>
      <c r="G669" t="s">
        <v>14</v>
      </c>
      <c r="H669" t="s">
        <v>11</v>
      </c>
      <c r="I669" t="s">
        <v>10</v>
      </c>
      <c r="J669">
        <f>_xlfn.XLOOKUP(C669,dim_BMI!$C$2:$C$7,dim_BMI!$A$2:$A$7,,1)</f>
        <v>6</v>
      </c>
      <c r="K669" t="str">
        <f>_xlfn.XLOOKUP(C669,dim_BMI!$C$2:$C$7,dim_BMI!$B$2:$B$7,,1)</f>
        <v>40 or higher (Severe Obesity Class 3)</v>
      </c>
    </row>
    <row r="670" spans="1:11" x14ac:dyDescent="0.25">
      <c r="A670" s="1">
        <v>1086</v>
      </c>
      <c r="B670">
        <v>39</v>
      </c>
      <c r="C670">
        <v>18.3</v>
      </c>
      <c r="D670">
        <v>5</v>
      </c>
      <c r="E670">
        <f t="shared" si="10"/>
        <v>1</v>
      </c>
      <c r="F670">
        <v>19023.259999999998</v>
      </c>
      <c r="G670" t="s">
        <v>9</v>
      </c>
      <c r="H670" t="s">
        <v>8</v>
      </c>
      <c r="I670" t="s">
        <v>7</v>
      </c>
      <c r="J670">
        <f>_xlfn.XLOOKUP(C670,dim_BMI!$C$2:$C$7,dim_BMI!$A$2:$A$7,,1)</f>
        <v>1</v>
      </c>
      <c r="K670" t="str">
        <f>_xlfn.XLOOKUP(C670,dim_BMI!$C$2:$C$7,dim_BMI!$B$2:$B$7,,1)</f>
        <v>18.49 or less (Underweight)</v>
      </c>
    </row>
    <row r="671" spans="1:11" x14ac:dyDescent="0.25">
      <c r="A671" s="1">
        <v>1131</v>
      </c>
      <c r="B671">
        <v>39</v>
      </c>
      <c r="C671">
        <v>23.87</v>
      </c>
      <c r="D671">
        <v>5</v>
      </c>
      <c r="E671">
        <f t="shared" si="10"/>
        <v>0</v>
      </c>
      <c r="F671">
        <v>8582.3022999999994</v>
      </c>
      <c r="G671" t="s">
        <v>12</v>
      </c>
      <c r="H671" t="s">
        <v>11</v>
      </c>
      <c r="I671" t="s">
        <v>7</v>
      </c>
      <c r="J671">
        <f>_xlfn.XLOOKUP(C671,dim_BMI!$C$2:$C$7,dim_BMI!$A$2:$A$7,,1)</f>
        <v>2</v>
      </c>
      <c r="K671" t="str">
        <f>_xlfn.XLOOKUP(C671,dim_BMI!$C$2:$C$7,dim_BMI!$B$2:$B$7,,1)</f>
        <v>18.5 to 24.9 (Healthy Weight)</v>
      </c>
    </row>
    <row r="672" spans="1:11" x14ac:dyDescent="0.25">
      <c r="A672" s="1">
        <v>1144</v>
      </c>
      <c r="B672">
        <v>39</v>
      </c>
      <c r="C672">
        <v>32.340000000000003</v>
      </c>
      <c r="D672">
        <v>2</v>
      </c>
      <c r="E672">
        <f t="shared" si="10"/>
        <v>0</v>
      </c>
      <c r="F672">
        <v>6338.0756000000001</v>
      </c>
      <c r="G672" t="s">
        <v>12</v>
      </c>
      <c r="H672" t="s">
        <v>11</v>
      </c>
      <c r="I672" t="s">
        <v>10</v>
      </c>
      <c r="J672">
        <f>_xlfn.XLOOKUP(C672,dim_BMI!$C$2:$C$7,dim_BMI!$A$2:$A$7,,1)</f>
        <v>4</v>
      </c>
      <c r="K672" t="str">
        <f>_xlfn.XLOOKUP(C672,dim_BMI!$C$2:$C$7,dim_BMI!$B$2:$B$7,,1)</f>
        <v>30.0 to 34.9 (Obesity Class 1)</v>
      </c>
    </row>
    <row r="673" spans="1:11" x14ac:dyDescent="0.25">
      <c r="A673" s="1">
        <v>1212</v>
      </c>
      <c r="B673">
        <v>39</v>
      </c>
      <c r="C673">
        <v>34.1</v>
      </c>
      <c r="D673">
        <v>2</v>
      </c>
      <c r="E673">
        <f t="shared" si="10"/>
        <v>0</v>
      </c>
      <c r="F673">
        <v>23563.016179999999</v>
      </c>
      <c r="G673" t="s">
        <v>12</v>
      </c>
      <c r="H673" t="s">
        <v>11</v>
      </c>
      <c r="I673" t="s">
        <v>10</v>
      </c>
      <c r="J673">
        <f>_xlfn.XLOOKUP(C673,dim_BMI!$C$2:$C$7,dim_BMI!$A$2:$A$7,,1)</f>
        <v>4</v>
      </c>
      <c r="K673" t="str">
        <f>_xlfn.XLOOKUP(C673,dim_BMI!$C$2:$C$7,dim_BMI!$B$2:$B$7,,1)</f>
        <v>30.0 to 34.9 (Obesity Class 1)</v>
      </c>
    </row>
    <row r="674" spans="1:11" x14ac:dyDescent="0.25">
      <c r="A674" s="1">
        <v>1279</v>
      </c>
      <c r="B674">
        <v>39</v>
      </c>
      <c r="C674">
        <v>29.925000000000001</v>
      </c>
      <c r="D674">
        <v>1</v>
      </c>
      <c r="E674">
        <f t="shared" si="10"/>
        <v>1</v>
      </c>
      <c r="F674">
        <v>22462.043750000001</v>
      </c>
      <c r="G674" t="s">
        <v>14</v>
      </c>
      <c r="H674" t="s">
        <v>8</v>
      </c>
      <c r="I674" t="s">
        <v>10</v>
      </c>
      <c r="J674">
        <f>_xlfn.XLOOKUP(C674,dim_BMI!$C$2:$C$7,dim_BMI!$A$2:$A$7,,1)</f>
        <v>4</v>
      </c>
      <c r="K674" t="str">
        <f>_xlfn.XLOOKUP(C674,dim_BMI!$C$2:$C$7,dim_BMI!$B$2:$B$7,,1)</f>
        <v>30.0 to 34.9 (Obesity Class 1)</v>
      </c>
    </row>
    <row r="675" spans="1:11" x14ac:dyDescent="0.25">
      <c r="A675" s="1">
        <v>1320</v>
      </c>
      <c r="B675">
        <v>39</v>
      </c>
      <c r="C675">
        <v>26.315000000000001</v>
      </c>
      <c r="D675">
        <v>2</v>
      </c>
      <c r="E675">
        <f t="shared" si="10"/>
        <v>0</v>
      </c>
      <c r="F675">
        <v>7201.7008500000002</v>
      </c>
      <c r="G675" t="s">
        <v>13</v>
      </c>
      <c r="H675" t="s">
        <v>11</v>
      </c>
      <c r="I675" t="s">
        <v>7</v>
      </c>
      <c r="J675">
        <f>_xlfn.XLOOKUP(C675,dim_BMI!$C$2:$C$7,dim_BMI!$A$2:$A$7,,1)</f>
        <v>3</v>
      </c>
      <c r="K675" t="str">
        <f>_xlfn.XLOOKUP(C675,dim_BMI!$C$2:$C$7,dim_BMI!$B$2:$B$7,,1)</f>
        <v>25.0 to 29.9 (Overweight)</v>
      </c>
    </row>
    <row r="676" spans="1:11" x14ac:dyDescent="0.25">
      <c r="A676" s="1">
        <v>55</v>
      </c>
      <c r="B676">
        <v>40</v>
      </c>
      <c r="C676">
        <v>28.69</v>
      </c>
      <c r="D676">
        <v>3</v>
      </c>
      <c r="E676">
        <f t="shared" si="10"/>
        <v>0</v>
      </c>
      <c r="F676">
        <v>8059.6791000000003</v>
      </c>
      <c r="G676" t="s">
        <v>13</v>
      </c>
      <c r="H676" t="s">
        <v>11</v>
      </c>
      <c r="I676" t="s">
        <v>7</v>
      </c>
      <c r="J676">
        <f>_xlfn.XLOOKUP(C676,dim_BMI!$C$2:$C$7,dim_BMI!$A$2:$A$7,,1)</f>
        <v>3</v>
      </c>
      <c r="K676" t="str">
        <f>_xlfn.XLOOKUP(C676,dim_BMI!$C$2:$C$7,dim_BMI!$B$2:$B$7,,1)</f>
        <v>25.0 to 29.9 (Overweight)</v>
      </c>
    </row>
    <row r="677" spans="1:11" x14ac:dyDescent="0.25">
      <c r="A677" s="1">
        <v>68</v>
      </c>
      <c r="B677">
        <v>40</v>
      </c>
      <c r="C677">
        <v>26.315000000000001</v>
      </c>
      <c r="D677">
        <v>1</v>
      </c>
      <c r="E677">
        <f t="shared" si="10"/>
        <v>0</v>
      </c>
      <c r="F677">
        <v>6389.3778499999999</v>
      </c>
      <c r="G677" t="s">
        <v>13</v>
      </c>
      <c r="H677" t="s">
        <v>11</v>
      </c>
      <c r="I677" t="s">
        <v>10</v>
      </c>
      <c r="J677">
        <f>_xlfn.XLOOKUP(C677,dim_BMI!$C$2:$C$7,dim_BMI!$A$2:$A$7,,1)</f>
        <v>3</v>
      </c>
      <c r="K677" t="str">
        <f>_xlfn.XLOOKUP(C677,dim_BMI!$C$2:$C$7,dim_BMI!$B$2:$B$7,,1)</f>
        <v>25.0 to 29.9 (Overweight)</v>
      </c>
    </row>
    <row r="678" spans="1:11" x14ac:dyDescent="0.25">
      <c r="A678" s="1">
        <v>69</v>
      </c>
      <c r="B678">
        <v>40</v>
      </c>
      <c r="C678">
        <v>36.19</v>
      </c>
      <c r="D678">
        <v>0</v>
      </c>
      <c r="E678">
        <f t="shared" si="10"/>
        <v>0</v>
      </c>
      <c r="F678">
        <v>5920.1040999999996</v>
      </c>
      <c r="G678" t="s">
        <v>12</v>
      </c>
      <c r="H678" t="s">
        <v>11</v>
      </c>
      <c r="I678" t="s">
        <v>7</v>
      </c>
      <c r="J678">
        <f>_xlfn.XLOOKUP(C678,dim_BMI!$C$2:$C$7,dim_BMI!$A$2:$A$7,,1)</f>
        <v>5</v>
      </c>
      <c r="K678" t="str">
        <f>_xlfn.XLOOKUP(C678,dim_BMI!$C$2:$C$7,dim_BMI!$B$2:$B$7,,1)</f>
        <v>35 to 39.9 (Obesity Class 2)</v>
      </c>
    </row>
    <row r="679" spans="1:11" x14ac:dyDescent="0.25">
      <c r="A679" s="1">
        <v>155</v>
      </c>
      <c r="B679">
        <v>40</v>
      </c>
      <c r="C679">
        <v>25.46</v>
      </c>
      <c r="D679">
        <v>1</v>
      </c>
      <c r="E679">
        <f t="shared" si="10"/>
        <v>0</v>
      </c>
      <c r="F679">
        <v>7077.1894000000002</v>
      </c>
      <c r="G679" t="s">
        <v>14</v>
      </c>
      <c r="H679" t="s">
        <v>11</v>
      </c>
      <c r="I679" t="s">
        <v>7</v>
      </c>
      <c r="J679">
        <f>_xlfn.XLOOKUP(C679,dim_BMI!$C$2:$C$7,dim_BMI!$A$2:$A$7,,1)</f>
        <v>3</v>
      </c>
      <c r="K679" t="str">
        <f>_xlfn.XLOOKUP(C679,dim_BMI!$C$2:$C$7,dim_BMI!$B$2:$B$7,,1)</f>
        <v>25.0 to 29.9 (Overweight)</v>
      </c>
    </row>
    <row r="680" spans="1:11" x14ac:dyDescent="0.25">
      <c r="A680" s="1">
        <v>210</v>
      </c>
      <c r="B680">
        <v>40</v>
      </c>
      <c r="C680">
        <v>41.23</v>
      </c>
      <c r="D680">
        <v>1</v>
      </c>
      <c r="E680">
        <f t="shared" si="10"/>
        <v>0</v>
      </c>
      <c r="F680">
        <v>6610.1097</v>
      </c>
      <c r="G680" t="s">
        <v>14</v>
      </c>
      <c r="H680" t="s">
        <v>11</v>
      </c>
      <c r="I680" t="s">
        <v>10</v>
      </c>
      <c r="J680">
        <f>_xlfn.XLOOKUP(C680,dim_BMI!$C$2:$C$7,dim_BMI!$A$2:$A$7,,1)</f>
        <v>6</v>
      </c>
      <c r="K680" t="str">
        <f>_xlfn.XLOOKUP(C680,dim_BMI!$C$2:$C$7,dim_BMI!$B$2:$B$7,,1)</f>
        <v>40 or higher (Severe Obesity Class 3)</v>
      </c>
    </row>
    <row r="681" spans="1:11" x14ac:dyDescent="0.25">
      <c r="A681" s="1">
        <v>212</v>
      </c>
      <c r="B681">
        <v>40</v>
      </c>
      <c r="C681">
        <v>30.875</v>
      </c>
      <c r="D681">
        <v>4</v>
      </c>
      <c r="E681">
        <f t="shared" si="10"/>
        <v>0</v>
      </c>
      <c r="F681">
        <v>8162.7162500000004</v>
      </c>
      <c r="G681" t="s">
        <v>13</v>
      </c>
      <c r="H681" t="s">
        <v>11</v>
      </c>
      <c r="I681" t="s">
        <v>10</v>
      </c>
      <c r="J681">
        <f>_xlfn.XLOOKUP(C681,dim_BMI!$C$2:$C$7,dim_BMI!$A$2:$A$7,,1)</f>
        <v>4</v>
      </c>
      <c r="K681" t="str">
        <f>_xlfn.XLOOKUP(C681,dim_BMI!$C$2:$C$7,dim_BMI!$B$2:$B$7,,1)</f>
        <v>30.0 to 34.9 (Obesity Class 1)</v>
      </c>
    </row>
    <row r="682" spans="1:11" x14ac:dyDescent="0.25">
      <c r="A682" s="1">
        <v>236</v>
      </c>
      <c r="B682">
        <v>40</v>
      </c>
      <c r="C682">
        <v>22.22</v>
      </c>
      <c r="D682">
        <v>2</v>
      </c>
      <c r="E682">
        <f t="shared" si="10"/>
        <v>1</v>
      </c>
      <c r="F682">
        <v>19444.265800000001</v>
      </c>
      <c r="G682" t="s">
        <v>12</v>
      </c>
      <c r="H682" t="s">
        <v>8</v>
      </c>
      <c r="I682" t="s">
        <v>7</v>
      </c>
      <c r="J682">
        <f>_xlfn.XLOOKUP(C682,dim_BMI!$C$2:$C$7,dim_BMI!$A$2:$A$7,,1)</f>
        <v>2</v>
      </c>
      <c r="K682" t="str">
        <f>_xlfn.XLOOKUP(C682,dim_BMI!$C$2:$C$7,dim_BMI!$B$2:$B$7,,1)</f>
        <v>18.5 to 24.9 (Healthy Weight)</v>
      </c>
    </row>
    <row r="683" spans="1:11" x14ac:dyDescent="0.25">
      <c r="A683" s="1">
        <v>244</v>
      </c>
      <c r="B683">
        <v>40</v>
      </c>
      <c r="C683">
        <v>35.299999999999997</v>
      </c>
      <c r="D683">
        <v>3</v>
      </c>
      <c r="E683">
        <f t="shared" si="10"/>
        <v>0</v>
      </c>
      <c r="F683">
        <v>7196.8670000000002</v>
      </c>
      <c r="G683" t="s">
        <v>9</v>
      </c>
      <c r="H683" t="s">
        <v>11</v>
      </c>
      <c r="I683" t="s">
        <v>10</v>
      </c>
      <c r="J683">
        <f>_xlfn.XLOOKUP(C683,dim_BMI!$C$2:$C$7,dim_BMI!$A$2:$A$7,,1)</f>
        <v>5</v>
      </c>
      <c r="K683" t="str">
        <f>_xlfn.XLOOKUP(C683,dim_BMI!$C$2:$C$7,dim_BMI!$B$2:$B$7,,1)</f>
        <v>35 to 39.9 (Obesity Class 2)</v>
      </c>
    </row>
    <row r="684" spans="1:11" x14ac:dyDescent="0.25">
      <c r="A684" s="1">
        <v>267</v>
      </c>
      <c r="B684">
        <v>40</v>
      </c>
      <c r="C684">
        <v>19.8</v>
      </c>
      <c r="D684">
        <v>1</v>
      </c>
      <c r="E684">
        <f t="shared" si="10"/>
        <v>1</v>
      </c>
      <c r="F684">
        <v>17179.522000000001</v>
      </c>
      <c r="G684" t="s">
        <v>12</v>
      </c>
      <c r="H684" t="s">
        <v>8</v>
      </c>
      <c r="I684" t="s">
        <v>10</v>
      </c>
      <c r="J684">
        <f>_xlfn.XLOOKUP(C684,dim_BMI!$C$2:$C$7,dim_BMI!$A$2:$A$7,,1)</f>
        <v>2</v>
      </c>
      <c r="K684" t="str">
        <f>_xlfn.XLOOKUP(C684,dim_BMI!$C$2:$C$7,dim_BMI!$B$2:$B$7,,1)</f>
        <v>18.5 to 24.9 (Healthy Weight)</v>
      </c>
    </row>
    <row r="685" spans="1:11" x14ac:dyDescent="0.25">
      <c r="A685" s="1">
        <v>281</v>
      </c>
      <c r="B685">
        <v>40</v>
      </c>
      <c r="C685">
        <v>28.12</v>
      </c>
      <c r="D685">
        <v>1</v>
      </c>
      <c r="E685">
        <f t="shared" si="10"/>
        <v>1</v>
      </c>
      <c r="F685">
        <v>22331.566800000001</v>
      </c>
      <c r="G685" t="s">
        <v>14</v>
      </c>
      <c r="H685" t="s">
        <v>8</v>
      </c>
      <c r="I685" t="s">
        <v>7</v>
      </c>
      <c r="J685">
        <f>_xlfn.XLOOKUP(C685,dim_BMI!$C$2:$C$7,dim_BMI!$A$2:$A$7,,1)</f>
        <v>3</v>
      </c>
      <c r="K685" t="str">
        <f>_xlfn.XLOOKUP(C685,dim_BMI!$C$2:$C$7,dim_BMI!$B$2:$B$7,,1)</f>
        <v>25.0 to 29.9 (Overweight)</v>
      </c>
    </row>
    <row r="686" spans="1:11" x14ac:dyDescent="0.25">
      <c r="A686" s="1">
        <v>326</v>
      </c>
      <c r="B686">
        <v>40</v>
      </c>
      <c r="C686">
        <v>34.104999999999997</v>
      </c>
      <c r="D686">
        <v>1</v>
      </c>
      <c r="E686">
        <f t="shared" si="10"/>
        <v>0</v>
      </c>
      <c r="F686">
        <v>6600.2059499999996</v>
      </c>
      <c r="G686" t="s">
        <v>14</v>
      </c>
      <c r="H686" t="s">
        <v>11</v>
      </c>
      <c r="I686" t="s">
        <v>10</v>
      </c>
      <c r="J686">
        <f>_xlfn.XLOOKUP(C686,dim_BMI!$C$2:$C$7,dim_BMI!$A$2:$A$7,,1)</f>
        <v>4</v>
      </c>
      <c r="K686" t="str">
        <f>_xlfn.XLOOKUP(C686,dim_BMI!$C$2:$C$7,dim_BMI!$B$2:$B$7,,1)</f>
        <v>30.0 to 34.9 (Obesity Class 1)</v>
      </c>
    </row>
    <row r="687" spans="1:11" x14ac:dyDescent="0.25">
      <c r="A687" s="1">
        <v>423</v>
      </c>
      <c r="B687">
        <v>40</v>
      </c>
      <c r="C687">
        <v>32.774999999999999</v>
      </c>
      <c r="D687">
        <v>1</v>
      </c>
      <c r="E687">
        <f t="shared" si="10"/>
        <v>1</v>
      </c>
      <c r="F687">
        <v>39125.332249999999</v>
      </c>
      <c r="G687" t="s">
        <v>14</v>
      </c>
      <c r="H687" t="s">
        <v>8</v>
      </c>
      <c r="I687" t="s">
        <v>10</v>
      </c>
      <c r="J687">
        <f>_xlfn.XLOOKUP(C687,dim_BMI!$C$2:$C$7,dim_BMI!$A$2:$A$7,,1)</f>
        <v>4</v>
      </c>
      <c r="K687" t="str">
        <f>_xlfn.XLOOKUP(C687,dim_BMI!$C$2:$C$7,dim_BMI!$B$2:$B$7,,1)</f>
        <v>30.0 to 34.9 (Obesity Class 1)</v>
      </c>
    </row>
    <row r="688" spans="1:11" x14ac:dyDescent="0.25">
      <c r="A688" s="1">
        <v>449</v>
      </c>
      <c r="B688">
        <v>40</v>
      </c>
      <c r="C688">
        <v>29.6</v>
      </c>
      <c r="D688">
        <v>0</v>
      </c>
      <c r="E688">
        <f t="shared" si="10"/>
        <v>0</v>
      </c>
      <c r="F688">
        <v>5910.9440000000004</v>
      </c>
      <c r="G688" t="s">
        <v>9</v>
      </c>
      <c r="H688" t="s">
        <v>11</v>
      </c>
      <c r="I688" t="s">
        <v>7</v>
      </c>
      <c r="J688">
        <f>_xlfn.XLOOKUP(C688,dim_BMI!$C$2:$C$7,dim_BMI!$A$2:$A$7,,1)</f>
        <v>3</v>
      </c>
      <c r="K688" t="str">
        <f>_xlfn.XLOOKUP(C688,dim_BMI!$C$2:$C$7,dim_BMI!$B$2:$B$7,,1)</f>
        <v>25.0 to 29.9 (Overweight)</v>
      </c>
    </row>
    <row r="689" spans="1:11" x14ac:dyDescent="0.25">
      <c r="A689" s="1">
        <v>460</v>
      </c>
      <c r="B689">
        <v>40</v>
      </c>
      <c r="C689">
        <v>33</v>
      </c>
      <c r="D689">
        <v>3</v>
      </c>
      <c r="E689">
        <f t="shared" si="10"/>
        <v>0</v>
      </c>
      <c r="F689">
        <v>7682.67</v>
      </c>
      <c r="G689" t="s">
        <v>12</v>
      </c>
      <c r="H689" t="s">
        <v>11</v>
      </c>
      <c r="I689" t="s">
        <v>7</v>
      </c>
      <c r="J689">
        <f>_xlfn.XLOOKUP(C689,dim_BMI!$C$2:$C$7,dim_BMI!$A$2:$A$7,,1)</f>
        <v>4</v>
      </c>
      <c r="K689" t="str">
        <f>_xlfn.XLOOKUP(C689,dim_BMI!$C$2:$C$7,dim_BMI!$B$2:$B$7,,1)</f>
        <v>30.0 to 34.9 (Obesity Class 1)</v>
      </c>
    </row>
    <row r="690" spans="1:11" x14ac:dyDescent="0.25">
      <c r="A690" s="1">
        <v>634</v>
      </c>
      <c r="B690">
        <v>40</v>
      </c>
      <c r="C690">
        <v>22.704999999999998</v>
      </c>
      <c r="D690">
        <v>2</v>
      </c>
      <c r="E690">
        <f t="shared" si="10"/>
        <v>0</v>
      </c>
      <c r="F690">
        <v>7173.35995</v>
      </c>
      <c r="G690" t="s">
        <v>14</v>
      </c>
      <c r="H690" t="s">
        <v>11</v>
      </c>
      <c r="I690" t="s">
        <v>10</v>
      </c>
      <c r="J690">
        <f>_xlfn.XLOOKUP(C690,dim_BMI!$C$2:$C$7,dim_BMI!$A$2:$A$7,,1)</f>
        <v>2</v>
      </c>
      <c r="K690" t="str">
        <f>_xlfn.XLOOKUP(C690,dim_BMI!$C$2:$C$7,dim_BMI!$B$2:$B$7,,1)</f>
        <v>18.5 to 24.9 (Healthy Weight)</v>
      </c>
    </row>
    <row r="691" spans="1:11" x14ac:dyDescent="0.25">
      <c r="A691" s="1">
        <v>648</v>
      </c>
      <c r="B691">
        <v>40</v>
      </c>
      <c r="C691">
        <v>23.37</v>
      </c>
      <c r="D691">
        <v>3</v>
      </c>
      <c r="E691">
        <f t="shared" si="10"/>
        <v>0</v>
      </c>
      <c r="F691">
        <v>8252.2842999999993</v>
      </c>
      <c r="G691" t="s">
        <v>14</v>
      </c>
      <c r="H691" t="s">
        <v>11</v>
      </c>
      <c r="I691" t="s">
        <v>7</v>
      </c>
      <c r="J691">
        <f>_xlfn.XLOOKUP(C691,dim_BMI!$C$2:$C$7,dim_BMI!$A$2:$A$7,,1)</f>
        <v>2</v>
      </c>
      <c r="K691" t="str">
        <f>_xlfn.XLOOKUP(C691,dim_BMI!$C$2:$C$7,dim_BMI!$B$2:$B$7,,1)</f>
        <v>18.5 to 24.9 (Healthy Weight)</v>
      </c>
    </row>
    <row r="692" spans="1:11" x14ac:dyDescent="0.25">
      <c r="A692" s="1">
        <v>668</v>
      </c>
      <c r="B692">
        <v>40</v>
      </c>
      <c r="C692">
        <v>32.774999999999999</v>
      </c>
      <c r="D692">
        <v>2</v>
      </c>
      <c r="E692">
        <f t="shared" si="10"/>
        <v>1</v>
      </c>
      <c r="F692">
        <v>40003.332249999999</v>
      </c>
      <c r="G692" t="s">
        <v>13</v>
      </c>
      <c r="H692" t="s">
        <v>8</v>
      </c>
      <c r="I692" t="s">
        <v>7</v>
      </c>
      <c r="J692">
        <f>_xlfn.XLOOKUP(C692,dim_BMI!$C$2:$C$7,dim_BMI!$A$2:$A$7,,1)</f>
        <v>4</v>
      </c>
      <c r="K692" t="str">
        <f>_xlfn.XLOOKUP(C692,dim_BMI!$C$2:$C$7,dim_BMI!$B$2:$B$7,,1)</f>
        <v>30.0 to 34.9 (Obesity Class 1)</v>
      </c>
    </row>
    <row r="693" spans="1:11" x14ac:dyDescent="0.25">
      <c r="A693" s="1">
        <v>670</v>
      </c>
      <c r="B693">
        <v>40</v>
      </c>
      <c r="C693">
        <v>29.81</v>
      </c>
      <c r="D693">
        <v>1</v>
      </c>
      <c r="E693">
        <f t="shared" si="10"/>
        <v>0</v>
      </c>
      <c r="F693">
        <v>6500.2358999999997</v>
      </c>
      <c r="G693" t="s">
        <v>12</v>
      </c>
      <c r="H693" t="s">
        <v>11</v>
      </c>
      <c r="I693" t="s">
        <v>7</v>
      </c>
      <c r="J693">
        <f>_xlfn.XLOOKUP(C693,dim_BMI!$C$2:$C$7,dim_BMI!$A$2:$A$7,,1)</f>
        <v>3</v>
      </c>
      <c r="K693" t="str">
        <f>_xlfn.XLOOKUP(C693,dim_BMI!$C$2:$C$7,dim_BMI!$B$2:$B$7,,1)</f>
        <v>25.0 to 29.9 (Overweight)</v>
      </c>
    </row>
    <row r="694" spans="1:11" x14ac:dyDescent="0.25">
      <c r="A694" s="1">
        <v>688</v>
      </c>
      <c r="B694">
        <v>40</v>
      </c>
      <c r="C694">
        <v>41.69</v>
      </c>
      <c r="D694">
        <v>0</v>
      </c>
      <c r="E694">
        <f t="shared" si="10"/>
        <v>0</v>
      </c>
      <c r="F694">
        <v>5438.7491</v>
      </c>
      <c r="G694" t="s">
        <v>12</v>
      </c>
      <c r="H694" t="s">
        <v>11</v>
      </c>
      <c r="I694" t="s">
        <v>10</v>
      </c>
      <c r="J694">
        <f>_xlfn.XLOOKUP(C694,dim_BMI!$C$2:$C$7,dim_BMI!$A$2:$A$7,,1)</f>
        <v>6</v>
      </c>
      <c r="K694" t="str">
        <f>_xlfn.XLOOKUP(C694,dim_BMI!$C$2:$C$7,dim_BMI!$B$2:$B$7,,1)</f>
        <v>40 or higher (Severe Obesity Class 3)</v>
      </c>
    </row>
    <row r="695" spans="1:11" x14ac:dyDescent="0.25">
      <c r="A695" s="1">
        <v>777</v>
      </c>
      <c r="B695">
        <v>40</v>
      </c>
      <c r="C695">
        <v>32.299999999999997</v>
      </c>
      <c r="D695">
        <v>2</v>
      </c>
      <c r="E695">
        <f t="shared" si="10"/>
        <v>0</v>
      </c>
      <c r="F695">
        <v>6986.6970000000001</v>
      </c>
      <c r="G695" t="s">
        <v>13</v>
      </c>
      <c r="H695" t="s">
        <v>11</v>
      </c>
      <c r="I695" t="s">
        <v>10</v>
      </c>
      <c r="J695">
        <f>_xlfn.XLOOKUP(C695,dim_BMI!$C$2:$C$7,dim_BMI!$A$2:$A$7,,1)</f>
        <v>4</v>
      </c>
      <c r="K695" t="str">
        <f>_xlfn.XLOOKUP(C695,dim_BMI!$C$2:$C$7,dim_BMI!$B$2:$B$7,,1)</f>
        <v>30.0 to 34.9 (Obesity Class 1)</v>
      </c>
    </row>
    <row r="696" spans="1:11" x14ac:dyDescent="0.25">
      <c r="A696" s="1">
        <v>807</v>
      </c>
      <c r="B696">
        <v>40</v>
      </c>
      <c r="C696">
        <v>41.42</v>
      </c>
      <c r="D696">
        <v>1</v>
      </c>
      <c r="E696">
        <f t="shared" si="10"/>
        <v>0</v>
      </c>
      <c r="F696">
        <v>28476.734990000001</v>
      </c>
      <c r="G696" t="s">
        <v>13</v>
      </c>
      <c r="H696" t="s">
        <v>11</v>
      </c>
      <c r="I696" t="s">
        <v>7</v>
      </c>
      <c r="J696">
        <f>_xlfn.XLOOKUP(C696,dim_BMI!$C$2:$C$7,dim_BMI!$A$2:$A$7,,1)</f>
        <v>6</v>
      </c>
      <c r="K696" t="str">
        <f>_xlfn.XLOOKUP(C696,dim_BMI!$C$2:$C$7,dim_BMI!$B$2:$B$7,,1)</f>
        <v>40 or higher (Severe Obesity Class 3)</v>
      </c>
    </row>
    <row r="697" spans="1:11" x14ac:dyDescent="0.25">
      <c r="A697" s="1">
        <v>866</v>
      </c>
      <c r="B697">
        <v>40</v>
      </c>
      <c r="C697">
        <v>29.9</v>
      </c>
      <c r="D697">
        <v>2</v>
      </c>
      <c r="E697">
        <f t="shared" si="10"/>
        <v>0</v>
      </c>
      <c r="F697">
        <v>6600.3609999999999</v>
      </c>
      <c r="G697" t="s">
        <v>9</v>
      </c>
      <c r="H697" t="s">
        <v>11</v>
      </c>
      <c r="I697" t="s">
        <v>10</v>
      </c>
      <c r="J697">
        <f>_xlfn.XLOOKUP(C697,dim_BMI!$C$2:$C$7,dim_BMI!$A$2:$A$7,,1)</f>
        <v>3</v>
      </c>
      <c r="K697" t="str">
        <f>_xlfn.XLOOKUP(C697,dim_BMI!$C$2:$C$7,dim_BMI!$B$2:$B$7,,1)</f>
        <v>25.0 to 29.9 (Overweight)</v>
      </c>
    </row>
    <row r="698" spans="1:11" x14ac:dyDescent="0.25">
      <c r="A698" s="1">
        <v>1178</v>
      </c>
      <c r="B698">
        <v>40</v>
      </c>
      <c r="C698">
        <v>27.4</v>
      </c>
      <c r="D698">
        <v>1</v>
      </c>
      <c r="E698">
        <f t="shared" si="10"/>
        <v>0</v>
      </c>
      <c r="F698">
        <v>6496.8860000000004</v>
      </c>
      <c r="G698" t="s">
        <v>9</v>
      </c>
      <c r="H698" t="s">
        <v>11</v>
      </c>
      <c r="I698" t="s">
        <v>7</v>
      </c>
      <c r="J698">
        <f>_xlfn.XLOOKUP(C698,dim_BMI!$C$2:$C$7,dim_BMI!$A$2:$A$7,,1)</f>
        <v>3</v>
      </c>
      <c r="K698" t="str">
        <f>_xlfn.XLOOKUP(C698,dim_BMI!$C$2:$C$7,dim_BMI!$B$2:$B$7,,1)</f>
        <v>25.0 to 29.9 (Overweight)</v>
      </c>
    </row>
    <row r="699" spans="1:11" x14ac:dyDescent="0.25">
      <c r="A699" s="1">
        <v>1199</v>
      </c>
      <c r="B699">
        <v>40</v>
      </c>
      <c r="C699">
        <v>29.355</v>
      </c>
      <c r="D699">
        <v>1</v>
      </c>
      <c r="E699">
        <f t="shared" si="10"/>
        <v>0</v>
      </c>
      <c r="F699">
        <v>6393.6034499999996</v>
      </c>
      <c r="G699" t="s">
        <v>13</v>
      </c>
      <c r="H699" t="s">
        <v>11</v>
      </c>
      <c r="I699" t="s">
        <v>10</v>
      </c>
      <c r="J699">
        <f>_xlfn.XLOOKUP(C699,dim_BMI!$C$2:$C$7,dim_BMI!$A$2:$A$7,,1)</f>
        <v>3</v>
      </c>
      <c r="K699" t="str">
        <f>_xlfn.XLOOKUP(C699,dim_BMI!$C$2:$C$7,dim_BMI!$B$2:$B$7,,1)</f>
        <v>25.0 to 29.9 (Overweight)</v>
      </c>
    </row>
    <row r="700" spans="1:11" x14ac:dyDescent="0.25">
      <c r="A700" s="1">
        <v>1217</v>
      </c>
      <c r="B700">
        <v>40</v>
      </c>
      <c r="C700">
        <v>25.08</v>
      </c>
      <c r="D700">
        <v>0</v>
      </c>
      <c r="E700">
        <f t="shared" si="10"/>
        <v>0</v>
      </c>
      <c r="F700">
        <v>5415.6611999999996</v>
      </c>
      <c r="G700" t="s">
        <v>12</v>
      </c>
      <c r="H700" t="s">
        <v>11</v>
      </c>
      <c r="I700" t="s">
        <v>10</v>
      </c>
      <c r="J700">
        <f>_xlfn.XLOOKUP(C700,dim_BMI!$C$2:$C$7,dim_BMI!$A$2:$A$7,,1)</f>
        <v>3</v>
      </c>
      <c r="K700" t="str">
        <f>_xlfn.XLOOKUP(C700,dim_BMI!$C$2:$C$7,dim_BMI!$B$2:$B$7,,1)</f>
        <v>25.0 to 29.9 (Overweight)</v>
      </c>
    </row>
    <row r="701" spans="1:11" x14ac:dyDescent="0.25">
      <c r="A701" s="1">
        <v>1222</v>
      </c>
      <c r="B701">
        <v>40</v>
      </c>
      <c r="C701">
        <v>24.97</v>
      </c>
      <c r="D701">
        <v>2</v>
      </c>
      <c r="E701">
        <f t="shared" si="10"/>
        <v>0</v>
      </c>
      <c r="F701">
        <v>6593.5083000000004</v>
      </c>
      <c r="G701" t="s">
        <v>12</v>
      </c>
      <c r="H701" t="s">
        <v>11</v>
      </c>
      <c r="I701" t="s">
        <v>10</v>
      </c>
      <c r="J701">
        <f>_xlfn.XLOOKUP(C701,dim_BMI!$C$2:$C$7,dim_BMI!$A$2:$A$7,,1)</f>
        <v>3</v>
      </c>
      <c r="K701" t="str">
        <f>_xlfn.XLOOKUP(C701,dim_BMI!$C$2:$C$7,dim_BMI!$B$2:$B$7,,1)</f>
        <v>25.0 to 29.9 (Overweight)</v>
      </c>
    </row>
    <row r="702" spans="1:11" x14ac:dyDescent="0.25">
      <c r="A702" s="1">
        <v>1254</v>
      </c>
      <c r="B702">
        <v>40</v>
      </c>
      <c r="C702">
        <v>29.3</v>
      </c>
      <c r="D702">
        <v>4</v>
      </c>
      <c r="E702">
        <f t="shared" si="10"/>
        <v>0</v>
      </c>
      <c r="F702">
        <v>15828.82173</v>
      </c>
      <c r="G702" t="s">
        <v>9</v>
      </c>
      <c r="H702" t="s">
        <v>11</v>
      </c>
      <c r="I702" t="s">
        <v>7</v>
      </c>
      <c r="J702">
        <f>_xlfn.XLOOKUP(C702,dim_BMI!$C$2:$C$7,dim_BMI!$A$2:$A$7,,1)</f>
        <v>3</v>
      </c>
      <c r="K702" t="str">
        <f>_xlfn.XLOOKUP(C702,dim_BMI!$C$2:$C$7,dim_BMI!$B$2:$B$7,,1)</f>
        <v>25.0 to 29.9 (Overweight)</v>
      </c>
    </row>
    <row r="703" spans="1:11" x14ac:dyDescent="0.25">
      <c r="A703" s="1">
        <v>43</v>
      </c>
      <c r="B703">
        <v>41</v>
      </c>
      <c r="C703">
        <v>21.78</v>
      </c>
      <c r="D703">
        <v>1</v>
      </c>
      <c r="E703">
        <f t="shared" si="10"/>
        <v>0</v>
      </c>
      <c r="F703">
        <v>6272.4772000000003</v>
      </c>
      <c r="G703" t="s">
        <v>12</v>
      </c>
      <c r="H703" t="s">
        <v>11</v>
      </c>
      <c r="I703" t="s">
        <v>10</v>
      </c>
      <c r="J703">
        <f>_xlfn.XLOOKUP(C703,dim_BMI!$C$2:$C$7,dim_BMI!$A$2:$A$7,,1)</f>
        <v>2</v>
      </c>
      <c r="K703" t="str">
        <f>_xlfn.XLOOKUP(C703,dim_BMI!$C$2:$C$7,dim_BMI!$B$2:$B$7,,1)</f>
        <v>18.5 to 24.9 (Healthy Weight)</v>
      </c>
    </row>
    <row r="704" spans="1:11" x14ac:dyDescent="0.25">
      <c r="A704" s="1">
        <v>80</v>
      </c>
      <c r="B704">
        <v>41</v>
      </c>
      <c r="C704">
        <v>32.965000000000003</v>
      </c>
      <c r="D704">
        <v>0</v>
      </c>
      <c r="E704">
        <f t="shared" si="10"/>
        <v>0</v>
      </c>
      <c r="F704">
        <v>6571.0243499999997</v>
      </c>
      <c r="G704" t="s">
        <v>13</v>
      </c>
      <c r="H704" t="s">
        <v>11</v>
      </c>
      <c r="I704" t="s">
        <v>7</v>
      </c>
      <c r="J704">
        <f>_xlfn.XLOOKUP(C704,dim_BMI!$C$2:$C$7,dim_BMI!$A$2:$A$7,,1)</f>
        <v>4</v>
      </c>
      <c r="K704" t="str">
        <f>_xlfn.XLOOKUP(C704,dim_BMI!$C$2:$C$7,dim_BMI!$B$2:$B$7,,1)</f>
        <v>30.0 to 34.9 (Obesity Class 1)</v>
      </c>
    </row>
    <row r="705" spans="1:11" x14ac:dyDescent="0.25">
      <c r="A705" s="1">
        <v>101</v>
      </c>
      <c r="B705">
        <v>41</v>
      </c>
      <c r="C705">
        <v>31.6</v>
      </c>
      <c r="D705">
        <v>0</v>
      </c>
      <c r="E705">
        <f t="shared" si="10"/>
        <v>0</v>
      </c>
      <c r="F705">
        <v>6186.1270000000004</v>
      </c>
      <c r="G705" t="s">
        <v>9</v>
      </c>
      <c r="H705" t="s">
        <v>11</v>
      </c>
      <c r="I705" t="s">
        <v>7</v>
      </c>
      <c r="J705">
        <f>_xlfn.XLOOKUP(C705,dim_BMI!$C$2:$C$7,dim_BMI!$A$2:$A$7,,1)</f>
        <v>4</v>
      </c>
      <c r="K705" t="str">
        <f>_xlfn.XLOOKUP(C705,dim_BMI!$C$2:$C$7,dim_BMI!$B$2:$B$7,,1)</f>
        <v>30.0 to 34.9 (Obesity Class 1)</v>
      </c>
    </row>
    <row r="706" spans="1:11" x14ac:dyDescent="0.25">
      <c r="A706" s="1">
        <v>180</v>
      </c>
      <c r="B706">
        <v>41</v>
      </c>
      <c r="C706">
        <v>33.155000000000001</v>
      </c>
      <c r="D706">
        <v>3</v>
      </c>
      <c r="E706">
        <f t="shared" si="10"/>
        <v>0</v>
      </c>
      <c r="F706">
        <v>8538.28845</v>
      </c>
      <c r="G706" t="s">
        <v>14</v>
      </c>
      <c r="H706" t="s">
        <v>11</v>
      </c>
      <c r="I706" t="s">
        <v>7</v>
      </c>
      <c r="J706">
        <f>_xlfn.XLOOKUP(C706,dim_BMI!$C$2:$C$7,dim_BMI!$A$2:$A$7,,1)</f>
        <v>4</v>
      </c>
      <c r="K706" t="str">
        <f>_xlfn.XLOOKUP(C706,dim_BMI!$C$2:$C$7,dim_BMI!$B$2:$B$7,,1)</f>
        <v>30.0 to 34.9 (Obesity Class 1)</v>
      </c>
    </row>
    <row r="707" spans="1:11" x14ac:dyDescent="0.25">
      <c r="A707" s="1">
        <v>189</v>
      </c>
      <c r="B707">
        <v>41</v>
      </c>
      <c r="C707">
        <v>32.200000000000003</v>
      </c>
      <c r="D707">
        <v>1</v>
      </c>
      <c r="E707">
        <f t="shared" ref="E707:E770" si="11">IF(H707="yes",1,0)</f>
        <v>0</v>
      </c>
      <c r="F707">
        <v>6775.9610000000002</v>
      </c>
      <c r="G707" t="s">
        <v>9</v>
      </c>
      <c r="H707" t="s">
        <v>11</v>
      </c>
      <c r="I707" t="s">
        <v>7</v>
      </c>
      <c r="J707">
        <f>_xlfn.XLOOKUP(C707,dim_BMI!$C$2:$C$7,dim_BMI!$A$2:$A$7,,1)</f>
        <v>4</v>
      </c>
      <c r="K707" t="str">
        <f>_xlfn.XLOOKUP(C707,dim_BMI!$C$2:$C$7,dim_BMI!$B$2:$B$7,,1)</f>
        <v>30.0 to 34.9 (Obesity Class 1)</v>
      </c>
    </row>
    <row r="708" spans="1:11" x14ac:dyDescent="0.25">
      <c r="A708" s="1">
        <v>216</v>
      </c>
      <c r="B708">
        <v>41</v>
      </c>
      <c r="C708">
        <v>37.1</v>
      </c>
      <c r="D708">
        <v>2</v>
      </c>
      <c r="E708">
        <f t="shared" si="11"/>
        <v>0</v>
      </c>
      <c r="F708">
        <v>7371.7719999999999</v>
      </c>
      <c r="G708" t="s">
        <v>9</v>
      </c>
      <c r="H708" t="s">
        <v>11</v>
      </c>
      <c r="I708" t="s">
        <v>7</v>
      </c>
      <c r="J708">
        <f>_xlfn.XLOOKUP(C708,dim_BMI!$C$2:$C$7,dim_BMI!$A$2:$A$7,,1)</f>
        <v>5</v>
      </c>
      <c r="K708" t="str">
        <f>_xlfn.XLOOKUP(C708,dim_BMI!$C$2:$C$7,dim_BMI!$B$2:$B$7,,1)</f>
        <v>35 to 39.9 (Obesity Class 2)</v>
      </c>
    </row>
    <row r="709" spans="1:11" x14ac:dyDescent="0.25">
      <c r="A709" s="1">
        <v>229</v>
      </c>
      <c r="B709">
        <v>41</v>
      </c>
      <c r="C709">
        <v>31.635000000000002</v>
      </c>
      <c r="D709">
        <v>1</v>
      </c>
      <c r="E709">
        <f t="shared" si="11"/>
        <v>0</v>
      </c>
      <c r="F709">
        <v>7358.1756500000001</v>
      </c>
      <c r="G709" t="s">
        <v>14</v>
      </c>
      <c r="H709" t="s">
        <v>11</v>
      </c>
      <c r="I709" t="s">
        <v>7</v>
      </c>
      <c r="J709">
        <f>_xlfn.XLOOKUP(C709,dim_BMI!$C$2:$C$7,dim_BMI!$A$2:$A$7,,1)</f>
        <v>4</v>
      </c>
      <c r="K709" t="str">
        <f>_xlfn.XLOOKUP(C709,dim_BMI!$C$2:$C$7,dim_BMI!$B$2:$B$7,,1)</f>
        <v>30.0 to 34.9 (Obesity Class 1)</v>
      </c>
    </row>
    <row r="710" spans="1:11" x14ac:dyDescent="0.25">
      <c r="A710" s="1">
        <v>273</v>
      </c>
      <c r="B710">
        <v>41</v>
      </c>
      <c r="C710">
        <v>37.049999999999997</v>
      </c>
      <c r="D710">
        <v>2</v>
      </c>
      <c r="E710">
        <f t="shared" si="11"/>
        <v>0</v>
      </c>
      <c r="F710">
        <v>7265.7025000000003</v>
      </c>
      <c r="G710" t="s">
        <v>13</v>
      </c>
      <c r="H710" t="s">
        <v>11</v>
      </c>
      <c r="I710" t="s">
        <v>10</v>
      </c>
      <c r="J710">
        <f>_xlfn.XLOOKUP(C710,dim_BMI!$C$2:$C$7,dim_BMI!$A$2:$A$7,,1)</f>
        <v>5</v>
      </c>
      <c r="K710" t="str">
        <f>_xlfn.XLOOKUP(C710,dim_BMI!$C$2:$C$7,dim_BMI!$B$2:$B$7,,1)</f>
        <v>35 to 39.9 (Obesity Class 2)</v>
      </c>
    </row>
    <row r="711" spans="1:11" x14ac:dyDescent="0.25">
      <c r="A711" s="1">
        <v>310</v>
      </c>
      <c r="B711">
        <v>41</v>
      </c>
      <c r="C711">
        <v>33.06</v>
      </c>
      <c r="D711">
        <v>2</v>
      </c>
      <c r="E711">
        <f t="shared" si="11"/>
        <v>0</v>
      </c>
      <c r="F711">
        <v>7749.1563999999998</v>
      </c>
      <c r="G711" t="s">
        <v>13</v>
      </c>
      <c r="H711" t="s">
        <v>11</v>
      </c>
      <c r="I711" t="s">
        <v>7</v>
      </c>
      <c r="J711">
        <f>_xlfn.XLOOKUP(C711,dim_BMI!$C$2:$C$7,dim_BMI!$A$2:$A$7,,1)</f>
        <v>4</v>
      </c>
      <c r="K711" t="str">
        <f>_xlfn.XLOOKUP(C711,dim_BMI!$C$2:$C$7,dim_BMI!$B$2:$B$7,,1)</f>
        <v>30.0 to 34.9 (Obesity Class 1)</v>
      </c>
    </row>
    <row r="712" spans="1:11" x14ac:dyDescent="0.25">
      <c r="A712" s="1">
        <v>568</v>
      </c>
      <c r="B712">
        <v>41</v>
      </c>
      <c r="C712">
        <v>30.59</v>
      </c>
      <c r="D712">
        <v>2</v>
      </c>
      <c r="E712">
        <f t="shared" si="11"/>
        <v>0</v>
      </c>
      <c r="F712">
        <v>7256.7231000000002</v>
      </c>
      <c r="G712" t="s">
        <v>13</v>
      </c>
      <c r="H712" t="s">
        <v>11</v>
      </c>
      <c r="I712" t="s">
        <v>10</v>
      </c>
      <c r="J712">
        <f>_xlfn.XLOOKUP(C712,dim_BMI!$C$2:$C$7,dim_BMI!$A$2:$A$7,,1)</f>
        <v>4</v>
      </c>
      <c r="K712" t="str">
        <f>_xlfn.XLOOKUP(C712,dim_BMI!$C$2:$C$7,dim_BMI!$B$2:$B$7,,1)</f>
        <v>30.0 to 34.9 (Obesity Class 1)</v>
      </c>
    </row>
    <row r="713" spans="1:11" x14ac:dyDescent="0.25">
      <c r="A713" s="1">
        <v>595</v>
      </c>
      <c r="B713">
        <v>41</v>
      </c>
      <c r="C713">
        <v>40.26</v>
      </c>
      <c r="D713">
        <v>0</v>
      </c>
      <c r="E713">
        <f t="shared" si="11"/>
        <v>0</v>
      </c>
      <c r="F713">
        <v>5709.1643999999997</v>
      </c>
      <c r="G713" t="s">
        <v>12</v>
      </c>
      <c r="H713" t="s">
        <v>11</v>
      </c>
      <c r="I713" t="s">
        <v>10</v>
      </c>
      <c r="J713">
        <f>_xlfn.XLOOKUP(C713,dim_BMI!$C$2:$C$7,dim_BMI!$A$2:$A$7,,1)</f>
        <v>6</v>
      </c>
      <c r="K713" t="str">
        <f>_xlfn.XLOOKUP(C713,dim_BMI!$C$2:$C$7,dim_BMI!$B$2:$B$7,,1)</f>
        <v>40 or higher (Severe Obesity Class 3)</v>
      </c>
    </row>
    <row r="714" spans="1:11" x14ac:dyDescent="0.25">
      <c r="A714" s="1">
        <v>674</v>
      </c>
      <c r="B714">
        <v>41</v>
      </c>
      <c r="C714">
        <v>31.02</v>
      </c>
      <c r="D714">
        <v>0</v>
      </c>
      <c r="E714">
        <f t="shared" si="11"/>
        <v>0</v>
      </c>
      <c r="F714">
        <v>6185.3208000000004</v>
      </c>
      <c r="G714" t="s">
        <v>12</v>
      </c>
      <c r="H714" t="s">
        <v>11</v>
      </c>
      <c r="I714" t="s">
        <v>7</v>
      </c>
      <c r="J714">
        <f>_xlfn.XLOOKUP(C714,dim_BMI!$C$2:$C$7,dim_BMI!$A$2:$A$7,,1)</f>
        <v>4</v>
      </c>
      <c r="K714" t="str">
        <f>_xlfn.XLOOKUP(C714,dim_BMI!$C$2:$C$7,dim_BMI!$B$2:$B$7,,1)</f>
        <v>30.0 to 34.9 (Obesity Class 1)</v>
      </c>
    </row>
    <row r="715" spans="1:11" x14ac:dyDescent="0.25">
      <c r="A715" s="1">
        <v>698</v>
      </c>
      <c r="B715">
        <v>41</v>
      </c>
      <c r="C715">
        <v>35.75</v>
      </c>
      <c r="D715">
        <v>1</v>
      </c>
      <c r="E715">
        <f t="shared" si="11"/>
        <v>1</v>
      </c>
      <c r="F715">
        <v>40273.645499999999</v>
      </c>
      <c r="G715" t="s">
        <v>12</v>
      </c>
      <c r="H715" t="s">
        <v>8</v>
      </c>
      <c r="I715" t="s">
        <v>10</v>
      </c>
      <c r="J715">
        <f>_xlfn.XLOOKUP(C715,dim_BMI!$C$2:$C$7,dim_BMI!$A$2:$A$7,,1)</f>
        <v>5</v>
      </c>
      <c r="K715" t="str">
        <f>_xlfn.XLOOKUP(C715,dim_BMI!$C$2:$C$7,dim_BMI!$B$2:$B$7,,1)</f>
        <v>35 to 39.9 (Obesity Class 2)</v>
      </c>
    </row>
    <row r="716" spans="1:11" x14ac:dyDescent="0.25">
      <c r="A716" s="1">
        <v>727</v>
      </c>
      <c r="B716">
        <v>41</v>
      </c>
      <c r="C716">
        <v>28.405000000000001</v>
      </c>
      <c r="D716">
        <v>1</v>
      </c>
      <c r="E716">
        <f t="shared" si="11"/>
        <v>0</v>
      </c>
      <c r="F716">
        <v>6664.68595</v>
      </c>
      <c r="G716" t="s">
        <v>13</v>
      </c>
      <c r="H716" t="s">
        <v>11</v>
      </c>
      <c r="I716" t="s">
        <v>10</v>
      </c>
      <c r="J716">
        <f>_xlfn.XLOOKUP(C716,dim_BMI!$C$2:$C$7,dim_BMI!$A$2:$A$7,,1)</f>
        <v>3</v>
      </c>
      <c r="K716" t="str">
        <f>_xlfn.XLOOKUP(C716,dim_BMI!$C$2:$C$7,dim_BMI!$B$2:$B$7,,1)</f>
        <v>25.0 to 29.9 (Overweight)</v>
      </c>
    </row>
    <row r="717" spans="1:11" x14ac:dyDescent="0.25">
      <c r="A717" s="1">
        <v>730</v>
      </c>
      <c r="B717">
        <v>41</v>
      </c>
      <c r="C717">
        <v>36.08</v>
      </c>
      <c r="D717">
        <v>1</v>
      </c>
      <c r="E717">
        <f t="shared" si="11"/>
        <v>0</v>
      </c>
      <c r="F717">
        <v>6781.3541999999998</v>
      </c>
      <c r="G717" t="s">
        <v>12</v>
      </c>
      <c r="H717" t="s">
        <v>11</v>
      </c>
      <c r="I717" t="s">
        <v>7</v>
      </c>
      <c r="J717">
        <f>_xlfn.XLOOKUP(C717,dim_BMI!$C$2:$C$7,dim_BMI!$A$2:$A$7,,1)</f>
        <v>5</v>
      </c>
      <c r="K717" t="str">
        <f>_xlfn.XLOOKUP(C717,dim_BMI!$C$2:$C$7,dim_BMI!$B$2:$B$7,,1)</f>
        <v>35 to 39.9 (Obesity Class 2)</v>
      </c>
    </row>
    <row r="718" spans="1:11" x14ac:dyDescent="0.25">
      <c r="A718" s="1">
        <v>775</v>
      </c>
      <c r="B718">
        <v>41</v>
      </c>
      <c r="C718">
        <v>34.200000000000003</v>
      </c>
      <c r="D718">
        <v>2</v>
      </c>
      <c r="E718">
        <f t="shared" si="11"/>
        <v>0</v>
      </c>
      <c r="F718">
        <v>7261.741</v>
      </c>
      <c r="G718" t="s">
        <v>13</v>
      </c>
      <c r="H718" t="s">
        <v>11</v>
      </c>
      <c r="I718" t="s">
        <v>10</v>
      </c>
      <c r="J718">
        <f>_xlfn.XLOOKUP(C718,dim_BMI!$C$2:$C$7,dim_BMI!$A$2:$A$7,,1)</f>
        <v>4</v>
      </c>
      <c r="K718" t="str">
        <f>_xlfn.XLOOKUP(C718,dim_BMI!$C$2:$C$7,dim_BMI!$B$2:$B$7,,1)</f>
        <v>30.0 to 34.9 (Obesity Class 1)</v>
      </c>
    </row>
    <row r="719" spans="1:11" x14ac:dyDescent="0.25">
      <c r="A719" s="1">
        <v>829</v>
      </c>
      <c r="B719">
        <v>41</v>
      </c>
      <c r="C719">
        <v>30.78</v>
      </c>
      <c r="D719">
        <v>3</v>
      </c>
      <c r="E719">
        <f t="shared" si="11"/>
        <v>1</v>
      </c>
      <c r="F719">
        <v>39597.407200000001</v>
      </c>
      <c r="G719" t="s">
        <v>14</v>
      </c>
      <c r="H719" t="s">
        <v>8</v>
      </c>
      <c r="I719" t="s">
        <v>10</v>
      </c>
      <c r="J719">
        <f>_xlfn.XLOOKUP(C719,dim_BMI!$C$2:$C$7,dim_BMI!$A$2:$A$7,,1)</f>
        <v>4</v>
      </c>
      <c r="K719" t="str">
        <f>_xlfn.XLOOKUP(C719,dim_BMI!$C$2:$C$7,dim_BMI!$B$2:$B$7,,1)</f>
        <v>30.0 to 34.9 (Obesity Class 1)</v>
      </c>
    </row>
    <row r="720" spans="1:11" x14ac:dyDescent="0.25">
      <c r="A720" s="1">
        <v>879</v>
      </c>
      <c r="B720">
        <v>41</v>
      </c>
      <c r="C720">
        <v>28.8</v>
      </c>
      <c r="D720">
        <v>1</v>
      </c>
      <c r="E720">
        <f t="shared" si="11"/>
        <v>0</v>
      </c>
      <c r="F720">
        <v>6282.2349999999997</v>
      </c>
      <c r="G720" t="s">
        <v>9</v>
      </c>
      <c r="H720" t="s">
        <v>11</v>
      </c>
      <c r="I720" t="s">
        <v>10</v>
      </c>
      <c r="J720">
        <f>_xlfn.XLOOKUP(C720,dim_BMI!$C$2:$C$7,dim_BMI!$A$2:$A$7,,1)</f>
        <v>3</v>
      </c>
      <c r="K720" t="str">
        <f>_xlfn.XLOOKUP(C720,dim_BMI!$C$2:$C$7,dim_BMI!$B$2:$B$7,,1)</f>
        <v>25.0 to 29.9 (Overweight)</v>
      </c>
    </row>
    <row r="721" spans="1:11" x14ac:dyDescent="0.25">
      <c r="A721" s="1">
        <v>930</v>
      </c>
      <c r="B721">
        <v>41</v>
      </c>
      <c r="C721">
        <v>34.21</v>
      </c>
      <c r="D721">
        <v>1</v>
      </c>
      <c r="E721">
        <f t="shared" si="11"/>
        <v>0</v>
      </c>
      <c r="F721">
        <v>6289.7548999999999</v>
      </c>
      <c r="G721" t="s">
        <v>12</v>
      </c>
      <c r="H721" t="s">
        <v>11</v>
      </c>
      <c r="I721" t="s">
        <v>10</v>
      </c>
      <c r="J721">
        <f>_xlfn.XLOOKUP(C721,dim_BMI!$C$2:$C$7,dim_BMI!$A$2:$A$7,,1)</f>
        <v>4</v>
      </c>
      <c r="K721" t="str">
        <f>_xlfn.XLOOKUP(C721,dim_BMI!$C$2:$C$7,dim_BMI!$B$2:$B$7,,1)</f>
        <v>30.0 to 34.9 (Obesity Class 1)</v>
      </c>
    </row>
    <row r="722" spans="1:11" x14ac:dyDescent="0.25">
      <c r="A722" s="1">
        <v>1117</v>
      </c>
      <c r="B722">
        <v>41</v>
      </c>
      <c r="C722">
        <v>29.64</v>
      </c>
      <c r="D722">
        <v>5</v>
      </c>
      <c r="E722">
        <f t="shared" si="11"/>
        <v>0</v>
      </c>
      <c r="F722">
        <v>9222.4025999999994</v>
      </c>
      <c r="G722" t="s">
        <v>14</v>
      </c>
      <c r="H722" t="s">
        <v>11</v>
      </c>
      <c r="I722" t="s">
        <v>10</v>
      </c>
      <c r="J722">
        <f>_xlfn.XLOOKUP(C722,dim_BMI!$C$2:$C$7,dim_BMI!$A$2:$A$7,,1)</f>
        <v>3</v>
      </c>
      <c r="K722" t="str">
        <f>_xlfn.XLOOKUP(C722,dim_BMI!$C$2:$C$7,dim_BMI!$B$2:$B$7,,1)</f>
        <v>25.0 to 29.9 (Overweight)</v>
      </c>
    </row>
    <row r="723" spans="1:11" x14ac:dyDescent="0.25">
      <c r="A723" s="1">
        <v>1142</v>
      </c>
      <c r="B723">
        <v>41</v>
      </c>
      <c r="C723">
        <v>32.6</v>
      </c>
      <c r="D723">
        <v>3</v>
      </c>
      <c r="E723">
        <f t="shared" si="11"/>
        <v>0</v>
      </c>
      <c r="F723">
        <v>7954.5169999999998</v>
      </c>
      <c r="G723" t="s">
        <v>9</v>
      </c>
      <c r="H723" t="s">
        <v>11</v>
      </c>
      <c r="I723" t="s">
        <v>7</v>
      </c>
      <c r="J723">
        <f>_xlfn.XLOOKUP(C723,dim_BMI!$C$2:$C$7,dim_BMI!$A$2:$A$7,,1)</f>
        <v>4</v>
      </c>
      <c r="K723" t="str">
        <f>_xlfn.XLOOKUP(C723,dim_BMI!$C$2:$C$7,dim_BMI!$B$2:$B$7,,1)</f>
        <v>30.0 to 34.9 (Obesity Class 1)</v>
      </c>
    </row>
    <row r="724" spans="1:11" x14ac:dyDescent="0.25">
      <c r="A724" s="1">
        <v>1165</v>
      </c>
      <c r="B724">
        <v>41</v>
      </c>
      <c r="C724">
        <v>28.31</v>
      </c>
      <c r="D724">
        <v>1</v>
      </c>
      <c r="E724">
        <f t="shared" si="11"/>
        <v>0</v>
      </c>
      <c r="F724">
        <v>7153.5538999999999</v>
      </c>
      <c r="G724" t="s">
        <v>13</v>
      </c>
      <c r="H724" t="s">
        <v>11</v>
      </c>
      <c r="I724" t="s">
        <v>7</v>
      </c>
      <c r="J724">
        <f>_xlfn.XLOOKUP(C724,dim_BMI!$C$2:$C$7,dim_BMI!$A$2:$A$7,,1)</f>
        <v>3</v>
      </c>
      <c r="K724" t="str">
        <f>_xlfn.XLOOKUP(C724,dim_BMI!$C$2:$C$7,dim_BMI!$B$2:$B$7,,1)</f>
        <v>25.0 to 29.9 (Overweight)</v>
      </c>
    </row>
    <row r="725" spans="1:11" x14ac:dyDescent="0.25">
      <c r="A725" s="1">
        <v>1192</v>
      </c>
      <c r="B725">
        <v>41</v>
      </c>
      <c r="C725">
        <v>21.754999999999999</v>
      </c>
      <c r="D725">
        <v>1</v>
      </c>
      <c r="E725">
        <f t="shared" si="11"/>
        <v>0</v>
      </c>
      <c r="F725">
        <v>13725.47184</v>
      </c>
      <c r="G725" t="s">
        <v>14</v>
      </c>
      <c r="H725" t="s">
        <v>11</v>
      </c>
      <c r="I725" t="s">
        <v>7</v>
      </c>
      <c r="J725">
        <f>_xlfn.XLOOKUP(C725,dim_BMI!$C$2:$C$7,dim_BMI!$A$2:$A$7,,1)</f>
        <v>2</v>
      </c>
      <c r="K725" t="str">
        <f>_xlfn.XLOOKUP(C725,dim_BMI!$C$2:$C$7,dim_BMI!$B$2:$B$7,,1)</f>
        <v>18.5 to 24.9 (Healthy Weight)</v>
      </c>
    </row>
    <row r="726" spans="1:11" x14ac:dyDescent="0.25">
      <c r="A726" s="1">
        <v>1198</v>
      </c>
      <c r="B726">
        <v>41</v>
      </c>
      <c r="C726">
        <v>33.549999999999997</v>
      </c>
      <c r="D726">
        <v>0</v>
      </c>
      <c r="E726">
        <f t="shared" si="11"/>
        <v>0</v>
      </c>
      <c r="F726">
        <v>5699.8374999999996</v>
      </c>
      <c r="G726" t="s">
        <v>12</v>
      </c>
      <c r="H726" t="s">
        <v>11</v>
      </c>
      <c r="I726" t="s">
        <v>10</v>
      </c>
      <c r="J726">
        <f>_xlfn.XLOOKUP(C726,dim_BMI!$C$2:$C$7,dim_BMI!$A$2:$A$7,,1)</f>
        <v>4</v>
      </c>
      <c r="K726" t="str">
        <f>_xlfn.XLOOKUP(C726,dim_BMI!$C$2:$C$7,dim_BMI!$B$2:$B$7,,1)</f>
        <v>30.0 to 34.9 (Obesity Class 1)</v>
      </c>
    </row>
    <row r="727" spans="1:11" x14ac:dyDescent="0.25">
      <c r="A727" s="1">
        <v>1225</v>
      </c>
      <c r="B727">
        <v>41</v>
      </c>
      <c r="C727">
        <v>23.94</v>
      </c>
      <c r="D727">
        <v>1</v>
      </c>
      <c r="E727">
        <f t="shared" si="11"/>
        <v>0</v>
      </c>
      <c r="F727">
        <v>6858.4795999999997</v>
      </c>
      <c r="G727" t="s">
        <v>14</v>
      </c>
      <c r="H727" t="s">
        <v>11</v>
      </c>
      <c r="I727" t="s">
        <v>10</v>
      </c>
      <c r="J727">
        <f>_xlfn.XLOOKUP(C727,dim_BMI!$C$2:$C$7,dim_BMI!$A$2:$A$7,,1)</f>
        <v>2</v>
      </c>
      <c r="K727" t="str">
        <f>_xlfn.XLOOKUP(C727,dim_BMI!$C$2:$C$7,dim_BMI!$B$2:$B$7,,1)</f>
        <v>18.5 to 24.9 (Healthy Weight)</v>
      </c>
    </row>
    <row r="728" spans="1:11" x14ac:dyDescent="0.25">
      <c r="A728" s="1">
        <v>1263</v>
      </c>
      <c r="B728">
        <v>41</v>
      </c>
      <c r="C728">
        <v>28.05</v>
      </c>
      <c r="D728">
        <v>1</v>
      </c>
      <c r="E728">
        <f t="shared" si="11"/>
        <v>0</v>
      </c>
      <c r="F728">
        <v>6770.1925000000001</v>
      </c>
      <c r="G728" t="s">
        <v>12</v>
      </c>
      <c r="H728" t="s">
        <v>11</v>
      </c>
      <c r="I728" t="s">
        <v>7</v>
      </c>
      <c r="J728">
        <f>_xlfn.XLOOKUP(C728,dim_BMI!$C$2:$C$7,dim_BMI!$A$2:$A$7,,1)</f>
        <v>3</v>
      </c>
      <c r="K728" t="str">
        <f>_xlfn.XLOOKUP(C728,dim_BMI!$C$2:$C$7,dim_BMI!$B$2:$B$7,,1)</f>
        <v>25.0 to 29.9 (Overweight)</v>
      </c>
    </row>
    <row r="729" spans="1:11" x14ac:dyDescent="0.25">
      <c r="A729" s="1">
        <v>1310</v>
      </c>
      <c r="B729">
        <v>41</v>
      </c>
      <c r="C729">
        <v>32.200000000000003</v>
      </c>
      <c r="D729">
        <v>2</v>
      </c>
      <c r="E729">
        <f t="shared" si="11"/>
        <v>0</v>
      </c>
      <c r="F729">
        <v>6875.9610000000002</v>
      </c>
      <c r="G729" t="s">
        <v>9</v>
      </c>
      <c r="H729" t="s">
        <v>11</v>
      </c>
      <c r="I729" t="s">
        <v>10</v>
      </c>
      <c r="J729">
        <f>_xlfn.XLOOKUP(C729,dim_BMI!$C$2:$C$7,dim_BMI!$A$2:$A$7,,1)</f>
        <v>4</v>
      </c>
      <c r="K729" t="str">
        <f>_xlfn.XLOOKUP(C729,dim_BMI!$C$2:$C$7,dim_BMI!$B$2:$B$7,,1)</f>
        <v>30.0 to 34.9 (Obesity Class 1)</v>
      </c>
    </row>
    <row r="730" spans="1:11" x14ac:dyDescent="0.25">
      <c r="A730" s="1">
        <v>154</v>
      </c>
      <c r="B730">
        <v>42</v>
      </c>
      <c r="C730">
        <v>23.37</v>
      </c>
      <c r="D730">
        <v>0</v>
      </c>
      <c r="E730">
        <f t="shared" si="11"/>
        <v>1</v>
      </c>
      <c r="F730">
        <v>19964.746299999999</v>
      </c>
      <c r="G730" t="s">
        <v>14</v>
      </c>
      <c r="H730" t="s">
        <v>8</v>
      </c>
      <c r="I730" t="s">
        <v>7</v>
      </c>
      <c r="J730">
        <f>_xlfn.XLOOKUP(C730,dim_BMI!$C$2:$C$7,dim_BMI!$A$2:$A$7,,1)</f>
        <v>2</v>
      </c>
      <c r="K730" t="str">
        <f>_xlfn.XLOOKUP(C730,dim_BMI!$C$2:$C$7,dim_BMI!$B$2:$B$7,,1)</f>
        <v>18.5 to 24.9 (Healthy Weight)</v>
      </c>
    </row>
    <row r="731" spans="1:11" x14ac:dyDescent="0.25">
      <c r="A731" s="1">
        <v>161</v>
      </c>
      <c r="B731">
        <v>42</v>
      </c>
      <c r="C731">
        <v>26.6</v>
      </c>
      <c r="D731">
        <v>0</v>
      </c>
      <c r="E731">
        <f t="shared" si="11"/>
        <v>1</v>
      </c>
      <c r="F731">
        <v>21348.705999999998</v>
      </c>
      <c r="G731" t="s">
        <v>13</v>
      </c>
      <c r="H731" t="s">
        <v>8</v>
      </c>
      <c r="I731" t="s">
        <v>7</v>
      </c>
      <c r="J731">
        <f>_xlfn.XLOOKUP(C731,dim_BMI!$C$2:$C$7,dim_BMI!$A$2:$A$7,,1)</f>
        <v>3</v>
      </c>
      <c r="K731" t="str">
        <f>_xlfn.XLOOKUP(C731,dim_BMI!$C$2:$C$7,dim_BMI!$B$2:$B$7,,1)</f>
        <v>25.0 to 29.9 (Overweight)</v>
      </c>
    </row>
    <row r="732" spans="1:11" x14ac:dyDescent="0.25">
      <c r="A732" s="1">
        <v>225</v>
      </c>
      <c r="B732">
        <v>42</v>
      </c>
      <c r="C732">
        <v>24.64</v>
      </c>
      <c r="D732">
        <v>0</v>
      </c>
      <c r="E732">
        <f t="shared" si="11"/>
        <v>1</v>
      </c>
      <c r="F732">
        <v>19515.5416</v>
      </c>
      <c r="G732" t="s">
        <v>12</v>
      </c>
      <c r="H732" t="s">
        <v>8</v>
      </c>
      <c r="I732" t="s">
        <v>10</v>
      </c>
      <c r="J732">
        <f>_xlfn.XLOOKUP(C732,dim_BMI!$C$2:$C$7,dim_BMI!$A$2:$A$7,,1)</f>
        <v>2</v>
      </c>
      <c r="K732" t="str">
        <f>_xlfn.XLOOKUP(C732,dim_BMI!$C$2:$C$7,dim_BMI!$B$2:$B$7,,1)</f>
        <v>18.5 to 24.9 (Healthy Weight)</v>
      </c>
    </row>
    <row r="733" spans="1:11" x14ac:dyDescent="0.25">
      <c r="A733" s="1">
        <v>231</v>
      </c>
      <c r="B733">
        <v>42</v>
      </c>
      <c r="C733">
        <v>36.195</v>
      </c>
      <c r="D733">
        <v>1</v>
      </c>
      <c r="E733">
        <f t="shared" si="11"/>
        <v>0</v>
      </c>
      <c r="F733">
        <v>7443.6430499999997</v>
      </c>
      <c r="G733" t="s">
        <v>13</v>
      </c>
      <c r="H733" t="s">
        <v>11</v>
      </c>
      <c r="I733" t="s">
        <v>7</v>
      </c>
      <c r="J733">
        <f>_xlfn.XLOOKUP(C733,dim_BMI!$C$2:$C$7,dim_BMI!$A$2:$A$7,,1)</f>
        <v>5</v>
      </c>
      <c r="K733" t="str">
        <f>_xlfn.XLOOKUP(C733,dim_BMI!$C$2:$C$7,dim_BMI!$B$2:$B$7,,1)</f>
        <v>35 to 39.9 (Obesity Class 2)</v>
      </c>
    </row>
    <row r="734" spans="1:11" x14ac:dyDescent="0.25">
      <c r="A734" s="1">
        <v>368</v>
      </c>
      <c r="B734">
        <v>42</v>
      </c>
      <c r="C734">
        <v>24.984999999999999</v>
      </c>
      <c r="D734">
        <v>2</v>
      </c>
      <c r="E734">
        <f t="shared" si="11"/>
        <v>0</v>
      </c>
      <c r="F734">
        <v>8017.0611500000005</v>
      </c>
      <c r="G734" t="s">
        <v>13</v>
      </c>
      <c r="H734" t="s">
        <v>11</v>
      </c>
      <c r="I734" t="s">
        <v>7</v>
      </c>
      <c r="J734">
        <f>_xlfn.XLOOKUP(C734,dim_BMI!$C$2:$C$7,dim_BMI!$A$2:$A$7,,1)</f>
        <v>3</v>
      </c>
      <c r="K734" t="str">
        <f>_xlfn.XLOOKUP(C734,dim_BMI!$C$2:$C$7,dim_BMI!$B$2:$B$7,,1)</f>
        <v>25.0 to 29.9 (Overweight)</v>
      </c>
    </row>
    <row r="735" spans="1:11" x14ac:dyDescent="0.25">
      <c r="A735" s="1">
        <v>373</v>
      </c>
      <c r="B735">
        <v>42</v>
      </c>
      <c r="C735">
        <v>33.155000000000001</v>
      </c>
      <c r="D735">
        <v>1</v>
      </c>
      <c r="E735">
        <f t="shared" si="11"/>
        <v>0</v>
      </c>
      <c r="F735">
        <v>7639.4174499999999</v>
      </c>
      <c r="G735" t="s">
        <v>14</v>
      </c>
      <c r="H735" t="s">
        <v>11</v>
      </c>
      <c r="I735" t="s">
        <v>7</v>
      </c>
      <c r="J735">
        <f>_xlfn.XLOOKUP(C735,dim_BMI!$C$2:$C$7,dim_BMI!$A$2:$A$7,,1)</f>
        <v>4</v>
      </c>
      <c r="K735" t="str">
        <f>_xlfn.XLOOKUP(C735,dim_BMI!$C$2:$C$7,dim_BMI!$B$2:$B$7,,1)</f>
        <v>30.0 to 34.9 (Obesity Class 1)</v>
      </c>
    </row>
    <row r="736" spans="1:11" x14ac:dyDescent="0.25">
      <c r="A736" s="1">
        <v>433</v>
      </c>
      <c r="B736">
        <v>42</v>
      </c>
      <c r="C736">
        <v>26.9</v>
      </c>
      <c r="D736">
        <v>0</v>
      </c>
      <c r="E736">
        <f t="shared" si="11"/>
        <v>0</v>
      </c>
      <c r="F736">
        <v>5969.723</v>
      </c>
      <c r="G736" t="s">
        <v>9</v>
      </c>
      <c r="H736" t="s">
        <v>11</v>
      </c>
      <c r="I736" t="s">
        <v>10</v>
      </c>
      <c r="J736">
        <f>_xlfn.XLOOKUP(C736,dim_BMI!$C$2:$C$7,dim_BMI!$A$2:$A$7,,1)</f>
        <v>3</v>
      </c>
      <c r="K736" t="str">
        <f>_xlfn.XLOOKUP(C736,dim_BMI!$C$2:$C$7,dim_BMI!$B$2:$B$7,,1)</f>
        <v>25.0 to 29.9 (Overweight)</v>
      </c>
    </row>
    <row r="737" spans="1:11" x14ac:dyDescent="0.25">
      <c r="A737" s="1">
        <v>462</v>
      </c>
      <c r="B737">
        <v>42</v>
      </c>
      <c r="C737">
        <v>30</v>
      </c>
      <c r="D737">
        <v>0</v>
      </c>
      <c r="E737">
        <f t="shared" si="11"/>
        <v>1</v>
      </c>
      <c r="F737">
        <v>22144.031999999999</v>
      </c>
      <c r="G737" t="s">
        <v>9</v>
      </c>
      <c r="H737" t="s">
        <v>8</v>
      </c>
      <c r="I737" t="s">
        <v>10</v>
      </c>
      <c r="J737">
        <f>_xlfn.XLOOKUP(C737,dim_BMI!$C$2:$C$7,dim_BMI!$A$2:$A$7,,1)</f>
        <v>4</v>
      </c>
      <c r="K737" t="str">
        <f>_xlfn.XLOOKUP(C737,dim_BMI!$C$2:$C$7,dim_BMI!$B$2:$B$7,,1)</f>
        <v>30.0 to 34.9 (Obesity Class 1)</v>
      </c>
    </row>
    <row r="738" spans="1:11" x14ac:dyDescent="0.25">
      <c r="A738" s="1">
        <v>525</v>
      </c>
      <c r="B738">
        <v>42</v>
      </c>
      <c r="C738">
        <v>26.07</v>
      </c>
      <c r="D738">
        <v>1</v>
      </c>
      <c r="E738">
        <f t="shared" si="11"/>
        <v>1</v>
      </c>
      <c r="F738">
        <v>38245.593269999998</v>
      </c>
      <c r="G738" t="s">
        <v>12</v>
      </c>
      <c r="H738" t="s">
        <v>8</v>
      </c>
      <c r="I738" t="s">
        <v>10</v>
      </c>
      <c r="J738">
        <f>_xlfn.XLOOKUP(C738,dim_BMI!$C$2:$C$7,dim_BMI!$A$2:$A$7,,1)</f>
        <v>3</v>
      </c>
      <c r="K738" t="str">
        <f>_xlfn.XLOOKUP(C738,dim_BMI!$C$2:$C$7,dim_BMI!$B$2:$B$7,,1)</f>
        <v>25.0 to 29.9 (Overweight)</v>
      </c>
    </row>
    <row r="739" spans="1:11" x14ac:dyDescent="0.25">
      <c r="A739" s="1">
        <v>597</v>
      </c>
      <c r="B739">
        <v>42</v>
      </c>
      <c r="C739">
        <v>29.48</v>
      </c>
      <c r="D739">
        <v>2</v>
      </c>
      <c r="E739">
        <f t="shared" si="11"/>
        <v>0</v>
      </c>
      <c r="F739">
        <v>7640.3091999999997</v>
      </c>
      <c r="G739" t="s">
        <v>12</v>
      </c>
      <c r="H739" t="s">
        <v>11</v>
      </c>
      <c r="I739" t="s">
        <v>7</v>
      </c>
      <c r="J739">
        <f>_xlfn.XLOOKUP(C739,dim_BMI!$C$2:$C$7,dim_BMI!$A$2:$A$7,,1)</f>
        <v>3</v>
      </c>
      <c r="K739" t="str">
        <f>_xlfn.XLOOKUP(C739,dim_BMI!$C$2:$C$7,dim_BMI!$B$2:$B$7,,1)</f>
        <v>25.0 to 29.9 (Overweight)</v>
      </c>
    </row>
    <row r="740" spans="1:11" x14ac:dyDescent="0.25">
      <c r="A740" s="1">
        <v>642</v>
      </c>
      <c r="B740">
        <v>42</v>
      </c>
      <c r="C740">
        <v>28.31</v>
      </c>
      <c r="D740">
        <v>3</v>
      </c>
      <c r="E740">
        <f t="shared" si="11"/>
        <v>1</v>
      </c>
      <c r="F740">
        <v>32787.458590000002</v>
      </c>
      <c r="G740" t="s">
        <v>13</v>
      </c>
      <c r="H740" t="s">
        <v>8</v>
      </c>
      <c r="I740" t="s">
        <v>10</v>
      </c>
      <c r="J740">
        <f>_xlfn.XLOOKUP(C740,dim_BMI!$C$2:$C$7,dim_BMI!$A$2:$A$7,,1)</f>
        <v>3</v>
      </c>
      <c r="K740" t="str">
        <f>_xlfn.XLOOKUP(C740,dim_BMI!$C$2:$C$7,dim_BMI!$B$2:$B$7,,1)</f>
        <v>25.0 to 29.9 (Overweight)</v>
      </c>
    </row>
    <row r="741" spans="1:11" x14ac:dyDescent="0.25">
      <c r="A741" s="1">
        <v>687</v>
      </c>
      <c r="B741">
        <v>42</v>
      </c>
      <c r="C741">
        <v>26.125</v>
      </c>
      <c r="D741">
        <v>2</v>
      </c>
      <c r="E741">
        <f t="shared" si="11"/>
        <v>0</v>
      </c>
      <c r="F741">
        <v>7729.6457499999997</v>
      </c>
      <c r="G741" t="s">
        <v>14</v>
      </c>
      <c r="H741" t="s">
        <v>11</v>
      </c>
      <c r="I741" t="s">
        <v>10</v>
      </c>
      <c r="J741">
        <f>_xlfn.XLOOKUP(C741,dim_BMI!$C$2:$C$7,dim_BMI!$A$2:$A$7,,1)</f>
        <v>3</v>
      </c>
      <c r="K741" t="str">
        <f>_xlfn.XLOOKUP(C741,dim_BMI!$C$2:$C$7,dim_BMI!$B$2:$B$7,,1)</f>
        <v>25.0 to 29.9 (Overweight)</v>
      </c>
    </row>
    <row r="742" spans="1:11" x14ac:dyDescent="0.25">
      <c r="A742" s="1">
        <v>768</v>
      </c>
      <c r="B742">
        <v>42</v>
      </c>
      <c r="C742">
        <v>29</v>
      </c>
      <c r="D742">
        <v>1</v>
      </c>
      <c r="E742">
        <f t="shared" si="11"/>
        <v>0</v>
      </c>
      <c r="F742">
        <v>7050.6419999999998</v>
      </c>
      <c r="G742" t="s">
        <v>9</v>
      </c>
      <c r="H742" t="s">
        <v>11</v>
      </c>
      <c r="I742" t="s">
        <v>7</v>
      </c>
      <c r="J742">
        <f>_xlfn.XLOOKUP(C742,dim_BMI!$C$2:$C$7,dim_BMI!$A$2:$A$7,,1)</f>
        <v>3</v>
      </c>
      <c r="K742" t="str">
        <f>_xlfn.XLOOKUP(C742,dim_BMI!$C$2:$C$7,dim_BMI!$B$2:$B$7,,1)</f>
        <v>25.0 to 29.9 (Overweight)</v>
      </c>
    </row>
    <row r="743" spans="1:11" x14ac:dyDescent="0.25">
      <c r="A743" s="1">
        <v>801</v>
      </c>
      <c r="B743">
        <v>42</v>
      </c>
      <c r="C743">
        <v>26.18</v>
      </c>
      <c r="D743">
        <v>1</v>
      </c>
      <c r="E743">
        <f t="shared" si="11"/>
        <v>0</v>
      </c>
      <c r="F743">
        <v>7046.7222000000002</v>
      </c>
      <c r="G743" t="s">
        <v>12</v>
      </c>
      <c r="H743" t="s">
        <v>11</v>
      </c>
      <c r="I743" t="s">
        <v>7</v>
      </c>
      <c r="J743">
        <f>_xlfn.XLOOKUP(C743,dim_BMI!$C$2:$C$7,dim_BMI!$A$2:$A$7,,1)</f>
        <v>3</v>
      </c>
      <c r="K743" t="str">
        <f>_xlfn.XLOOKUP(C743,dim_BMI!$C$2:$C$7,dim_BMI!$B$2:$B$7,,1)</f>
        <v>25.0 to 29.9 (Overweight)</v>
      </c>
    </row>
    <row r="744" spans="1:11" x14ac:dyDescent="0.25">
      <c r="A744" s="1">
        <v>836</v>
      </c>
      <c r="B744">
        <v>42</v>
      </c>
      <c r="C744">
        <v>35.97</v>
      </c>
      <c r="D744">
        <v>2</v>
      </c>
      <c r="E744">
        <f t="shared" si="11"/>
        <v>0</v>
      </c>
      <c r="F744">
        <v>7160.3302999999996</v>
      </c>
      <c r="G744" t="s">
        <v>12</v>
      </c>
      <c r="H744" t="s">
        <v>11</v>
      </c>
      <c r="I744" t="s">
        <v>10</v>
      </c>
      <c r="J744">
        <f>_xlfn.XLOOKUP(C744,dim_BMI!$C$2:$C$7,dim_BMI!$A$2:$A$7,,1)</f>
        <v>5</v>
      </c>
      <c r="K744" t="str">
        <f>_xlfn.XLOOKUP(C744,dim_BMI!$C$2:$C$7,dim_BMI!$B$2:$B$7,,1)</f>
        <v>35 to 39.9 (Obesity Class 2)</v>
      </c>
    </row>
    <row r="745" spans="1:11" x14ac:dyDescent="0.25">
      <c r="A745" s="1">
        <v>873</v>
      </c>
      <c r="B745">
        <v>42</v>
      </c>
      <c r="C745">
        <v>24.86</v>
      </c>
      <c r="D745">
        <v>0</v>
      </c>
      <c r="E745">
        <f t="shared" si="11"/>
        <v>0</v>
      </c>
      <c r="F745">
        <v>5966.8873999999996</v>
      </c>
      <c r="G745" t="s">
        <v>12</v>
      </c>
      <c r="H745" t="s">
        <v>11</v>
      </c>
      <c r="I745" t="s">
        <v>10</v>
      </c>
      <c r="J745">
        <f>_xlfn.XLOOKUP(C745,dim_BMI!$C$2:$C$7,dim_BMI!$A$2:$A$7,,1)</f>
        <v>2</v>
      </c>
      <c r="K745" t="str">
        <f>_xlfn.XLOOKUP(C745,dim_BMI!$C$2:$C$7,dim_BMI!$B$2:$B$7,,1)</f>
        <v>18.5 to 24.9 (Healthy Weight)</v>
      </c>
    </row>
    <row r="746" spans="1:11" x14ac:dyDescent="0.25">
      <c r="A746" s="1">
        <v>947</v>
      </c>
      <c r="B746">
        <v>42</v>
      </c>
      <c r="C746">
        <v>35.799999999999997</v>
      </c>
      <c r="D746">
        <v>2</v>
      </c>
      <c r="E746">
        <f t="shared" si="11"/>
        <v>0</v>
      </c>
      <c r="F746">
        <v>7160.0940000000001</v>
      </c>
      <c r="G746" t="s">
        <v>9</v>
      </c>
      <c r="H746" t="s">
        <v>11</v>
      </c>
      <c r="I746" t="s">
        <v>10</v>
      </c>
      <c r="J746">
        <f>_xlfn.XLOOKUP(C746,dim_BMI!$C$2:$C$7,dim_BMI!$A$2:$A$7,,1)</f>
        <v>5</v>
      </c>
      <c r="K746" t="str">
        <f>_xlfn.XLOOKUP(C746,dim_BMI!$C$2:$C$7,dim_BMI!$B$2:$B$7,,1)</f>
        <v>35 to 39.9 (Obesity Class 2)</v>
      </c>
    </row>
    <row r="747" spans="1:11" x14ac:dyDescent="0.25">
      <c r="A747" s="1">
        <v>949</v>
      </c>
      <c r="B747">
        <v>42</v>
      </c>
      <c r="C747">
        <v>31.254999999999999</v>
      </c>
      <c r="D747">
        <v>0</v>
      </c>
      <c r="E747">
        <f t="shared" si="11"/>
        <v>0</v>
      </c>
      <c r="F747">
        <v>6358.7764500000003</v>
      </c>
      <c r="G747" t="s">
        <v>13</v>
      </c>
      <c r="H747" t="s">
        <v>11</v>
      </c>
      <c r="I747" t="s">
        <v>10</v>
      </c>
      <c r="J747">
        <f>_xlfn.XLOOKUP(C747,dim_BMI!$C$2:$C$7,dim_BMI!$A$2:$A$7,,1)</f>
        <v>4</v>
      </c>
      <c r="K747" t="str">
        <f>_xlfn.XLOOKUP(C747,dim_BMI!$C$2:$C$7,dim_BMI!$B$2:$B$7,,1)</f>
        <v>30.0 to 34.9 (Obesity Class 1)</v>
      </c>
    </row>
    <row r="748" spans="1:11" x14ac:dyDescent="0.25">
      <c r="A748" s="1">
        <v>1066</v>
      </c>
      <c r="B748">
        <v>42</v>
      </c>
      <c r="C748">
        <v>25.3</v>
      </c>
      <c r="D748">
        <v>1</v>
      </c>
      <c r="E748">
        <f t="shared" si="11"/>
        <v>0</v>
      </c>
      <c r="F748">
        <v>7045.4989999999998</v>
      </c>
      <c r="G748" t="s">
        <v>9</v>
      </c>
      <c r="H748" t="s">
        <v>11</v>
      </c>
      <c r="I748" t="s">
        <v>7</v>
      </c>
      <c r="J748">
        <f>_xlfn.XLOOKUP(C748,dim_BMI!$C$2:$C$7,dim_BMI!$A$2:$A$7,,1)</f>
        <v>3</v>
      </c>
      <c r="K748" t="str">
        <f>_xlfn.XLOOKUP(C748,dim_BMI!$C$2:$C$7,dim_BMI!$B$2:$B$7,,1)</f>
        <v>25.0 to 29.9 (Overweight)</v>
      </c>
    </row>
    <row r="749" spans="1:11" x14ac:dyDescent="0.25">
      <c r="A749" s="1">
        <v>1150</v>
      </c>
      <c r="B749">
        <v>42</v>
      </c>
      <c r="C749">
        <v>34.1</v>
      </c>
      <c r="D749">
        <v>0</v>
      </c>
      <c r="E749">
        <f t="shared" si="11"/>
        <v>0</v>
      </c>
      <c r="F749">
        <v>5979.7309999999998</v>
      </c>
      <c r="G749" t="s">
        <v>9</v>
      </c>
      <c r="H749" t="s">
        <v>11</v>
      </c>
      <c r="I749" t="s">
        <v>10</v>
      </c>
      <c r="J749">
        <f>_xlfn.XLOOKUP(C749,dim_BMI!$C$2:$C$7,dim_BMI!$A$2:$A$7,,1)</f>
        <v>4</v>
      </c>
      <c r="K749" t="str">
        <f>_xlfn.XLOOKUP(C749,dim_BMI!$C$2:$C$7,dim_BMI!$B$2:$B$7,,1)</f>
        <v>30.0 to 34.9 (Obesity Class 1)</v>
      </c>
    </row>
    <row r="750" spans="1:11" x14ac:dyDescent="0.25">
      <c r="A750" s="1">
        <v>1181</v>
      </c>
      <c r="B750">
        <v>42</v>
      </c>
      <c r="C750">
        <v>41.325000000000003</v>
      </c>
      <c r="D750">
        <v>1</v>
      </c>
      <c r="E750">
        <f t="shared" si="11"/>
        <v>0</v>
      </c>
      <c r="F750">
        <v>7650.7737500000003</v>
      </c>
      <c r="G750" t="s">
        <v>14</v>
      </c>
      <c r="H750" t="s">
        <v>11</v>
      </c>
      <c r="I750" t="s">
        <v>7</v>
      </c>
      <c r="J750">
        <f>_xlfn.XLOOKUP(C750,dim_BMI!$C$2:$C$7,dim_BMI!$A$2:$A$7,,1)</f>
        <v>6</v>
      </c>
      <c r="K750" t="str">
        <f>_xlfn.XLOOKUP(C750,dim_BMI!$C$2:$C$7,dim_BMI!$B$2:$B$7,,1)</f>
        <v>40 or higher (Severe Obesity Class 3)</v>
      </c>
    </row>
    <row r="751" spans="1:11" x14ac:dyDescent="0.25">
      <c r="A751" s="1">
        <v>1228</v>
      </c>
      <c r="B751">
        <v>42</v>
      </c>
      <c r="C751">
        <v>37.18</v>
      </c>
      <c r="D751">
        <v>2</v>
      </c>
      <c r="E751">
        <f t="shared" si="11"/>
        <v>0</v>
      </c>
      <c r="F751">
        <v>7162.0122000000001</v>
      </c>
      <c r="G751" t="s">
        <v>12</v>
      </c>
      <c r="H751" t="s">
        <v>11</v>
      </c>
      <c r="I751" t="s">
        <v>10</v>
      </c>
      <c r="J751">
        <f>_xlfn.XLOOKUP(C751,dim_BMI!$C$2:$C$7,dim_BMI!$A$2:$A$7,,1)</f>
        <v>5</v>
      </c>
      <c r="K751" t="str">
        <f>_xlfn.XLOOKUP(C751,dim_BMI!$C$2:$C$7,dim_BMI!$B$2:$B$7,,1)</f>
        <v>35 to 39.9 (Obesity Class 2)</v>
      </c>
    </row>
    <row r="752" spans="1:11" x14ac:dyDescent="0.25">
      <c r="A752" s="1">
        <v>1256</v>
      </c>
      <c r="B752">
        <v>42</v>
      </c>
      <c r="C752">
        <v>37.9</v>
      </c>
      <c r="D752">
        <v>0</v>
      </c>
      <c r="E752">
        <f t="shared" si="11"/>
        <v>0</v>
      </c>
      <c r="F752">
        <v>6474.0129999999999</v>
      </c>
      <c r="G752" t="s">
        <v>9</v>
      </c>
      <c r="H752" t="s">
        <v>11</v>
      </c>
      <c r="I752" t="s">
        <v>7</v>
      </c>
      <c r="J752">
        <f>_xlfn.XLOOKUP(C752,dim_BMI!$C$2:$C$7,dim_BMI!$A$2:$A$7,,1)</f>
        <v>5</v>
      </c>
      <c r="K752" t="str">
        <f>_xlfn.XLOOKUP(C752,dim_BMI!$C$2:$C$7,dim_BMI!$B$2:$B$7,,1)</f>
        <v>35 to 39.9 (Obesity Class 2)</v>
      </c>
    </row>
    <row r="753" spans="1:11" x14ac:dyDescent="0.25">
      <c r="A753" s="1">
        <v>1305</v>
      </c>
      <c r="B753">
        <v>42</v>
      </c>
      <c r="C753">
        <v>24.605</v>
      </c>
      <c r="D753">
        <v>2</v>
      </c>
      <c r="E753">
        <f t="shared" si="11"/>
        <v>1</v>
      </c>
      <c r="F753">
        <v>21259.377949999998</v>
      </c>
      <c r="G753" t="s">
        <v>14</v>
      </c>
      <c r="H753" t="s">
        <v>8</v>
      </c>
      <c r="I753" t="s">
        <v>10</v>
      </c>
      <c r="J753">
        <f>_xlfn.XLOOKUP(C753,dim_BMI!$C$2:$C$7,dim_BMI!$A$2:$A$7,,1)</f>
        <v>2</v>
      </c>
      <c r="K753" t="str">
        <f>_xlfn.XLOOKUP(C753,dim_BMI!$C$2:$C$7,dim_BMI!$B$2:$B$7,,1)</f>
        <v>18.5 to 24.9 (Healthy Weight)</v>
      </c>
    </row>
    <row r="754" spans="1:11" x14ac:dyDescent="0.25">
      <c r="A754" s="1">
        <v>1311</v>
      </c>
      <c r="B754">
        <v>42</v>
      </c>
      <c r="C754">
        <v>26.315000000000001</v>
      </c>
      <c r="D754">
        <v>1</v>
      </c>
      <c r="E754">
        <f t="shared" si="11"/>
        <v>0</v>
      </c>
      <c r="F754">
        <v>6940.90985</v>
      </c>
      <c r="G754" t="s">
        <v>13</v>
      </c>
      <c r="H754" t="s">
        <v>11</v>
      </c>
      <c r="I754" t="s">
        <v>10</v>
      </c>
      <c r="J754">
        <f>_xlfn.XLOOKUP(C754,dim_BMI!$C$2:$C$7,dim_BMI!$A$2:$A$7,,1)</f>
        <v>3</v>
      </c>
      <c r="K754" t="str">
        <f>_xlfn.XLOOKUP(C754,dim_BMI!$C$2:$C$7,dim_BMI!$B$2:$B$7,,1)</f>
        <v>25.0 to 29.9 (Overweight)</v>
      </c>
    </row>
    <row r="755" spans="1:11" x14ac:dyDescent="0.25">
      <c r="A755" s="1">
        <v>1324</v>
      </c>
      <c r="B755">
        <v>42</v>
      </c>
      <c r="C755">
        <v>40.369999999999997</v>
      </c>
      <c r="D755">
        <v>2</v>
      </c>
      <c r="E755">
        <f t="shared" si="11"/>
        <v>1</v>
      </c>
      <c r="F755">
        <v>43896.376300000004</v>
      </c>
      <c r="G755" t="s">
        <v>12</v>
      </c>
      <c r="H755" t="s">
        <v>8</v>
      </c>
      <c r="I755" t="s">
        <v>7</v>
      </c>
      <c r="J755">
        <f>_xlfn.XLOOKUP(C755,dim_BMI!$C$2:$C$7,dim_BMI!$A$2:$A$7,,1)</f>
        <v>6</v>
      </c>
      <c r="K755" t="str">
        <f>_xlfn.XLOOKUP(C755,dim_BMI!$C$2:$C$7,dim_BMI!$B$2:$B$7,,1)</f>
        <v>40 or higher (Severe Obesity Class 3)</v>
      </c>
    </row>
    <row r="756" spans="1:11" x14ac:dyDescent="0.25">
      <c r="A756" s="1">
        <v>1327</v>
      </c>
      <c r="B756">
        <v>42</v>
      </c>
      <c r="C756">
        <v>32.869999999999997</v>
      </c>
      <c r="D756">
        <v>0</v>
      </c>
      <c r="E756">
        <f t="shared" si="11"/>
        <v>0</v>
      </c>
      <c r="F756">
        <v>7050.0213000000003</v>
      </c>
      <c r="G756" t="s">
        <v>14</v>
      </c>
      <c r="H756" t="s">
        <v>11</v>
      </c>
      <c r="I756" t="s">
        <v>7</v>
      </c>
      <c r="J756">
        <f>_xlfn.XLOOKUP(C756,dim_BMI!$C$2:$C$7,dim_BMI!$A$2:$A$7,,1)</f>
        <v>4</v>
      </c>
      <c r="K756" t="str">
        <f>_xlfn.XLOOKUP(C756,dim_BMI!$C$2:$C$7,dim_BMI!$B$2:$B$7,,1)</f>
        <v>30.0 to 34.9 (Obesity Class 1)</v>
      </c>
    </row>
    <row r="757" spans="1:11" x14ac:dyDescent="0.25">
      <c r="A757" s="1">
        <v>61</v>
      </c>
      <c r="B757">
        <v>43</v>
      </c>
      <c r="C757">
        <v>27.36</v>
      </c>
      <c r="D757">
        <v>3</v>
      </c>
      <c r="E757">
        <f t="shared" si="11"/>
        <v>0</v>
      </c>
      <c r="F757">
        <v>8606.2173999999995</v>
      </c>
      <c r="G757" t="s">
        <v>14</v>
      </c>
      <c r="H757" t="s">
        <v>11</v>
      </c>
      <c r="I757" t="s">
        <v>10</v>
      </c>
      <c r="J757">
        <f>_xlfn.XLOOKUP(C757,dim_BMI!$C$2:$C$7,dim_BMI!$A$2:$A$7,,1)</f>
        <v>3</v>
      </c>
      <c r="K757" t="str">
        <f>_xlfn.XLOOKUP(C757,dim_BMI!$C$2:$C$7,dim_BMI!$B$2:$B$7,,1)</f>
        <v>25.0 to 29.9 (Overweight)</v>
      </c>
    </row>
    <row r="758" spans="1:11" x14ac:dyDescent="0.25">
      <c r="A758" s="1">
        <v>313</v>
      </c>
      <c r="B758">
        <v>43</v>
      </c>
      <c r="C758">
        <v>35.97</v>
      </c>
      <c r="D758">
        <v>3</v>
      </c>
      <c r="E758">
        <f t="shared" si="11"/>
        <v>1</v>
      </c>
      <c r="F758">
        <v>42124.515299999999</v>
      </c>
      <c r="G758" t="s">
        <v>12</v>
      </c>
      <c r="H758" t="s">
        <v>8</v>
      </c>
      <c r="I758" t="s">
        <v>10</v>
      </c>
      <c r="J758">
        <f>_xlfn.XLOOKUP(C758,dim_BMI!$C$2:$C$7,dim_BMI!$A$2:$A$7,,1)</f>
        <v>5</v>
      </c>
      <c r="K758" t="str">
        <f>_xlfn.XLOOKUP(C758,dim_BMI!$C$2:$C$7,dim_BMI!$B$2:$B$7,,1)</f>
        <v>35 to 39.9 (Obesity Class 2)</v>
      </c>
    </row>
    <row r="759" spans="1:11" x14ac:dyDescent="0.25">
      <c r="A759" s="1">
        <v>335</v>
      </c>
      <c r="B759">
        <v>43</v>
      </c>
      <c r="C759">
        <v>35.72</v>
      </c>
      <c r="D759">
        <v>2</v>
      </c>
      <c r="E759">
        <f t="shared" si="11"/>
        <v>0</v>
      </c>
      <c r="F759">
        <v>19144.576519999999</v>
      </c>
      <c r="G759" t="s">
        <v>14</v>
      </c>
      <c r="H759" t="s">
        <v>11</v>
      </c>
      <c r="I759" t="s">
        <v>7</v>
      </c>
      <c r="J759">
        <f>_xlfn.XLOOKUP(C759,dim_BMI!$C$2:$C$7,dim_BMI!$A$2:$A$7,,1)</f>
        <v>5</v>
      </c>
      <c r="K759" t="str">
        <f>_xlfn.XLOOKUP(C759,dim_BMI!$C$2:$C$7,dim_BMI!$B$2:$B$7,,1)</f>
        <v>35 to 39.9 (Obesity Class 2)</v>
      </c>
    </row>
    <row r="760" spans="1:11" x14ac:dyDescent="0.25">
      <c r="A760" s="1">
        <v>397</v>
      </c>
      <c r="B760">
        <v>43</v>
      </c>
      <c r="C760">
        <v>34.4</v>
      </c>
      <c r="D760">
        <v>3</v>
      </c>
      <c r="E760">
        <f t="shared" si="11"/>
        <v>0</v>
      </c>
      <c r="F760">
        <v>8522.0030000000006</v>
      </c>
      <c r="G760" t="s">
        <v>9</v>
      </c>
      <c r="H760" t="s">
        <v>11</v>
      </c>
      <c r="I760" t="s">
        <v>7</v>
      </c>
      <c r="J760">
        <f>_xlfn.XLOOKUP(C760,dim_BMI!$C$2:$C$7,dim_BMI!$A$2:$A$7,,1)</f>
        <v>4</v>
      </c>
      <c r="K760" t="str">
        <f>_xlfn.XLOOKUP(C760,dim_BMI!$C$2:$C$7,dim_BMI!$B$2:$B$7,,1)</f>
        <v>30.0 to 34.9 (Obesity Class 1)</v>
      </c>
    </row>
    <row r="761" spans="1:11" x14ac:dyDescent="0.25">
      <c r="A761" s="1">
        <v>416</v>
      </c>
      <c r="B761">
        <v>43</v>
      </c>
      <c r="C761">
        <v>35.64</v>
      </c>
      <c r="D761">
        <v>1</v>
      </c>
      <c r="E761">
        <f t="shared" si="11"/>
        <v>0</v>
      </c>
      <c r="F761">
        <v>7345.7266</v>
      </c>
      <c r="G761" t="s">
        <v>12</v>
      </c>
      <c r="H761" t="s">
        <v>11</v>
      </c>
      <c r="I761" t="s">
        <v>7</v>
      </c>
      <c r="J761">
        <f>_xlfn.XLOOKUP(C761,dim_BMI!$C$2:$C$7,dim_BMI!$A$2:$A$7,,1)</f>
        <v>5</v>
      </c>
      <c r="K761" t="str">
        <f>_xlfn.XLOOKUP(C761,dim_BMI!$C$2:$C$7,dim_BMI!$B$2:$B$7,,1)</f>
        <v>35 to 39.9 (Obesity Class 2)</v>
      </c>
    </row>
    <row r="762" spans="1:11" x14ac:dyDescent="0.25">
      <c r="A762" s="1">
        <v>502</v>
      </c>
      <c r="B762">
        <v>43</v>
      </c>
      <c r="C762">
        <v>26.03</v>
      </c>
      <c r="D762">
        <v>0</v>
      </c>
      <c r="E762">
        <f t="shared" si="11"/>
        <v>0</v>
      </c>
      <c r="F762">
        <v>6837.3687</v>
      </c>
      <c r="G762" t="s">
        <v>14</v>
      </c>
      <c r="H762" t="s">
        <v>11</v>
      </c>
      <c r="I762" t="s">
        <v>10</v>
      </c>
      <c r="J762">
        <f>_xlfn.XLOOKUP(C762,dim_BMI!$C$2:$C$7,dim_BMI!$A$2:$A$7,,1)</f>
        <v>3</v>
      </c>
      <c r="K762" t="str">
        <f>_xlfn.XLOOKUP(C762,dim_BMI!$C$2:$C$7,dim_BMI!$B$2:$B$7,,1)</f>
        <v>25.0 to 29.9 (Overweight)</v>
      </c>
    </row>
    <row r="763" spans="1:11" x14ac:dyDescent="0.25">
      <c r="A763" s="1">
        <v>550</v>
      </c>
      <c r="B763">
        <v>43</v>
      </c>
      <c r="C763">
        <v>46.2</v>
      </c>
      <c r="D763">
        <v>0</v>
      </c>
      <c r="E763">
        <f t="shared" si="11"/>
        <v>1</v>
      </c>
      <c r="F763">
        <v>45863.205000000002</v>
      </c>
      <c r="G763" t="s">
        <v>12</v>
      </c>
      <c r="H763" t="s">
        <v>8</v>
      </c>
      <c r="I763" t="s">
        <v>7</v>
      </c>
      <c r="J763">
        <f>_xlfn.XLOOKUP(C763,dim_BMI!$C$2:$C$7,dim_BMI!$A$2:$A$7,,1)</f>
        <v>6</v>
      </c>
      <c r="K763" t="str">
        <f>_xlfn.XLOOKUP(C763,dim_BMI!$C$2:$C$7,dim_BMI!$B$2:$B$7,,1)</f>
        <v>40 or higher (Severe Obesity Class 3)</v>
      </c>
    </row>
    <row r="764" spans="1:11" x14ac:dyDescent="0.25">
      <c r="A764" s="1">
        <v>599</v>
      </c>
      <c r="B764">
        <v>43</v>
      </c>
      <c r="C764">
        <v>32.6</v>
      </c>
      <c r="D764">
        <v>2</v>
      </c>
      <c r="E764">
        <f t="shared" si="11"/>
        <v>0</v>
      </c>
      <c r="F764">
        <v>7441.5010000000002</v>
      </c>
      <c r="G764" t="s">
        <v>9</v>
      </c>
      <c r="H764" t="s">
        <v>11</v>
      </c>
      <c r="I764" t="s">
        <v>10</v>
      </c>
      <c r="J764">
        <f>_xlfn.XLOOKUP(C764,dim_BMI!$C$2:$C$7,dim_BMI!$A$2:$A$7,,1)</f>
        <v>4</v>
      </c>
      <c r="K764" t="str">
        <f>_xlfn.XLOOKUP(C764,dim_BMI!$C$2:$C$7,dim_BMI!$B$2:$B$7,,1)</f>
        <v>30.0 to 34.9 (Obesity Class 1)</v>
      </c>
    </row>
    <row r="765" spans="1:11" x14ac:dyDescent="0.25">
      <c r="A765" s="1">
        <v>645</v>
      </c>
      <c r="B765">
        <v>43</v>
      </c>
      <c r="C765">
        <v>35.31</v>
      </c>
      <c r="D765">
        <v>2</v>
      </c>
      <c r="E765">
        <f t="shared" si="11"/>
        <v>0</v>
      </c>
      <c r="F765">
        <v>18806.145469999999</v>
      </c>
      <c r="G765" t="s">
        <v>12</v>
      </c>
      <c r="H765" t="s">
        <v>11</v>
      </c>
      <c r="I765" t="s">
        <v>10</v>
      </c>
      <c r="J765">
        <f>_xlfn.XLOOKUP(C765,dim_BMI!$C$2:$C$7,dim_BMI!$A$2:$A$7,,1)</f>
        <v>5</v>
      </c>
      <c r="K765" t="str">
        <f>_xlfn.XLOOKUP(C765,dim_BMI!$C$2:$C$7,dim_BMI!$B$2:$B$7,,1)</f>
        <v>35 to 39.9 (Obesity Class 2)</v>
      </c>
    </row>
    <row r="766" spans="1:11" x14ac:dyDescent="0.25">
      <c r="A766" s="1">
        <v>666</v>
      </c>
      <c r="B766">
        <v>43</v>
      </c>
      <c r="C766">
        <v>38.06</v>
      </c>
      <c r="D766">
        <v>2</v>
      </c>
      <c r="E766">
        <f t="shared" si="11"/>
        <v>1</v>
      </c>
      <c r="F766">
        <v>42560.430399999997</v>
      </c>
      <c r="G766" t="s">
        <v>12</v>
      </c>
      <c r="H766" t="s">
        <v>8</v>
      </c>
      <c r="I766" t="s">
        <v>10</v>
      </c>
      <c r="J766">
        <f>_xlfn.XLOOKUP(C766,dim_BMI!$C$2:$C$7,dim_BMI!$A$2:$A$7,,1)</f>
        <v>5</v>
      </c>
      <c r="K766" t="str">
        <f>_xlfn.XLOOKUP(C766,dim_BMI!$C$2:$C$7,dim_BMI!$B$2:$B$7,,1)</f>
        <v>35 to 39.9 (Obesity Class 2)</v>
      </c>
    </row>
    <row r="767" spans="1:11" x14ac:dyDescent="0.25">
      <c r="A767" s="1">
        <v>713</v>
      </c>
      <c r="B767">
        <v>43</v>
      </c>
      <c r="C767">
        <v>30.684999999999999</v>
      </c>
      <c r="D767">
        <v>2</v>
      </c>
      <c r="E767">
        <f t="shared" si="11"/>
        <v>0</v>
      </c>
      <c r="F767">
        <v>8310.8391499999998</v>
      </c>
      <c r="G767" t="s">
        <v>13</v>
      </c>
      <c r="H767" t="s">
        <v>11</v>
      </c>
      <c r="I767" t="s">
        <v>7</v>
      </c>
      <c r="J767">
        <f>_xlfn.XLOOKUP(C767,dim_BMI!$C$2:$C$7,dim_BMI!$A$2:$A$7,,1)</f>
        <v>4</v>
      </c>
      <c r="K767" t="str">
        <f>_xlfn.XLOOKUP(C767,dim_BMI!$C$2:$C$7,dim_BMI!$B$2:$B$7,,1)</f>
        <v>30.0 to 34.9 (Obesity Class 1)</v>
      </c>
    </row>
    <row r="768" spans="1:11" x14ac:dyDescent="0.25">
      <c r="A768" s="1">
        <v>874</v>
      </c>
      <c r="B768">
        <v>43</v>
      </c>
      <c r="C768">
        <v>30.1</v>
      </c>
      <c r="D768">
        <v>1</v>
      </c>
      <c r="E768">
        <f t="shared" si="11"/>
        <v>0</v>
      </c>
      <c r="F768">
        <v>6849.0259999999998</v>
      </c>
      <c r="G768" t="s">
        <v>9</v>
      </c>
      <c r="H768" t="s">
        <v>11</v>
      </c>
      <c r="I768" t="s">
        <v>10</v>
      </c>
      <c r="J768">
        <f>_xlfn.XLOOKUP(C768,dim_BMI!$C$2:$C$7,dim_BMI!$A$2:$A$7,,1)</f>
        <v>4</v>
      </c>
      <c r="K768" t="str">
        <f>_xlfn.XLOOKUP(C768,dim_BMI!$C$2:$C$7,dim_BMI!$B$2:$B$7,,1)</f>
        <v>30.0 to 34.9 (Obesity Class 1)</v>
      </c>
    </row>
    <row r="769" spans="1:11" x14ac:dyDescent="0.25">
      <c r="A769" s="1">
        <v>897</v>
      </c>
      <c r="B769">
        <v>43</v>
      </c>
      <c r="C769">
        <v>20.045000000000002</v>
      </c>
      <c r="D769">
        <v>2</v>
      </c>
      <c r="E769">
        <f t="shared" si="11"/>
        <v>1</v>
      </c>
      <c r="F769">
        <v>19798.054550000001</v>
      </c>
      <c r="G769" t="s">
        <v>14</v>
      </c>
      <c r="H769" t="s">
        <v>8</v>
      </c>
      <c r="I769" t="s">
        <v>7</v>
      </c>
      <c r="J769">
        <f>_xlfn.XLOOKUP(C769,dim_BMI!$C$2:$C$7,dim_BMI!$A$2:$A$7,,1)</f>
        <v>2</v>
      </c>
      <c r="K769" t="str">
        <f>_xlfn.XLOOKUP(C769,dim_BMI!$C$2:$C$7,dim_BMI!$B$2:$B$7,,1)</f>
        <v>18.5 to 24.9 (Healthy Weight)</v>
      </c>
    </row>
    <row r="770" spans="1:11" x14ac:dyDescent="0.25">
      <c r="A770" s="1">
        <v>917</v>
      </c>
      <c r="B770">
        <v>43</v>
      </c>
      <c r="C770">
        <v>26.885000000000002</v>
      </c>
      <c r="D770">
        <v>0</v>
      </c>
      <c r="E770">
        <f t="shared" si="11"/>
        <v>1</v>
      </c>
      <c r="F770">
        <v>21774.32215</v>
      </c>
      <c r="G770" t="s">
        <v>13</v>
      </c>
      <c r="H770" t="s">
        <v>8</v>
      </c>
      <c r="I770" t="s">
        <v>7</v>
      </c>
      <c r="J770">
        <f>_xlfn.XLOOKUP(C770,dim_BMI!$C$2:$C$7,dim_BMI!$A$2:$A$7,,1)</f>
        <v>3</v>
      </c>
      <c r="K770" t="str">
        <f>_xlfn.XLOOKUP(C770,dim_BMI!$C$2:$C$7,dim_BMI!$B$2:$B$7,,1)</f>
        <v>25.0 to 29.9 (Overweight)</v>
      </c>
    </row>
    <row r="771" spans="1:11" x14ac:dyDescent="0.25">
      <c r="A771" s="1">
        <v>925</v>
      </c>
      <c r="B771">
        <v>43</v>
      </c>
      <c r="C771">
        <v>23.2</v>
      </c>
      <c r="D771">
        <v>0</v>
      </c>
      <c r="E771">
        <f t="shared" ref="E771:E834" si="12">IF(H771="yes",1,0)</f>
        <v>0</v>
      </c>
      <c r="F771">
        <v>6250.4350000000004</v>
      </c>
      <c r="G771" t="s">
        <v>9</v>
      </c>
      <c r="H771" t="s">
        <v>11</v>
      </c>
      <c r="I771" t="s">
        <v>10</v>
      </c>
      <c r="J771">
        <f>_xlfn.XLOOKUP(C771,dim_BMI!$C$2:$C$7,dim_BMI!$A$2:$A$7,,1)</f>
        <v>2</v>
      </c>
      <c r="K771" t="str">
        <f>_xlfn.XLOOKUP(C771,dim_BMI!$C$2:$C$7,dim_BMI!$B$2:$B$7,,1)</f>
        <v>18.5 to 24.9 (Healthy Weight)</v>
      </c>
    </row>
    <row r="772" spans="1:11" x14ac:dyDescent="0.25">
      <c r="A772" s="1">
        <v>959</v>
      </c>
      <c r="B772">
        <v>43</v>
      </c>
      <c r="C772">
        <v>34.96</v>
      </c>
      <c r="D772">
        <v>1</v>
      </c>
      <c r="E772">
        <f t="shared" si="12"/>
        <v>1</v>
      </c>
      <c r="F772">
        <v>41034.221400000002</v>
      </c>
      <c r="G772" t="s">
        <v>14</v>
      </c>
      <c r="H772" t="s">
        <v>8</v>
      </c>
      <c r="I772" t="s">
        <v>10</v>
      </c>
      <c r="J772">
        <f>_xlfn.XLOOKUP(C772,dim_BMI!$C$2:$C$7,dim_BMI!$A$2:$A$7,,1)</f>
        <v>5</v>
      </c>
      <c r="K772" t="str">
        <f>_xlfn.XLOOKUP(C772,dim_BMI!$C$2:$C$7,dim_BMI!$B$2:$B$7,,1)</f>
        <v>35 to 39.9 (Obesity Class 2)</v>
      </c>
    </row>
    <row r="773" spans="1:11" x14ac:dyDescent="0.25">
      <c r="A773" s="1">
        <v>987</v>
      </c>
      <c r="B773">
        <v>43</v>
      </c>
      <c r="C773">
        <v>30.114999999999998</v>
      </c>
      <c r="D773">
        <v>3</v>
      </c>
      <c r="E773">
        <f t="shared" si="12"/>
        <v>0</v>
      </c>
      <c r="F773">
        <v>8410.0468500000006</v>
      </c>
      <c r="G773" t="s">
        <v>13</v>
      </c>
      <c r="H773" t="s">
        <v>11</v>
      </c>
      <c r="I773" t="s">
        <v>10</v>
      </c>
      <c r="J773">
        <f>_xlfn.XLOOKUP(C773,dim_BMI!$C$2:$C$7,dim_BMI!$A$2:$A$7,,1)</f>
        <v>4</v>
      </c>
      <c r="K773" t="str">
        <f>_xlfn.XLOOKUP(C773,dim_BMI!$C$2:$C$7,dim_BMI!$B$2:$B$7,,1)</f>
        <v>30.0 to 34.9 (Obesity Class 1)</v>
      </c>
    </row>
    <row r="774" spans="1:11" x14ac:dyDescent="0.25">
      <c r="A774" s="1">
        <v>1012</v>
      </c>
      <c r="B774">
        <v>43</v>
      </c>
      <c r="C774">
        <v>20.13</v>
      </c>
      <c r="D774">
        <v>2</v>
      </c>
      <c r="E774">
        <f t="shared" si="12"/>
        <v>1</v>
      </c>
      <c r="F774">
        <v>18767.737700000001</v>
      </c>
      <c r="G774" t="s">
        <v>12</v>
      </c>
      <c r="H774" t="s">
        <v>8</v>
      </c>
      <c r="I774" t="s">
        <v>10</v>
      </c>
      <c r="J774">
        <f>_xlfn.XLOOKUP(C774,dim_BMI!$C$2:$C$7,dim_BMI!$A$2:$A$7,,1)</f>
        <v>2</v>
      </c>
      <c r="K774" t="str">
        <f>_xlfn.XLOOKUP(C774,dim_BMI!$C$2:$C$7,dim_BMI!$B$2:$B$7,,1)</f>
        <v>18.5 to 24.9 (Healthy Weight)</v>
      </c>
    </row>
    <row r="775" spans="1:11" x14ac:dyDescent="0.25">
      <c r="A775" s="1">
        <v>1046</v>
      </c>
      <c r="B775">
        <v>43</v>
      </c>
      <c r="C775">
        <v>24.7</v>
      </c>
      <c r="D775">
        <v>2</v>
      </c>
      <c r="E775">
        <f t="shared" si="12"/>
        <v>1</v>
      </c>
      <c r="F775">
        <v>21880.82</v>
      </c>
      <c r="G775" t="s">
        <v>13</v>
      </c>
      <c r="H775" t="s">
        <v>8</v>
      </c>
      <c r="I775" t="s">
        <v>7</v>
      </c>
      <c r="J775">
        <f>_xlfn.XLOOKUP(C775,dim_BMI!$C$2:$C$7,dim_BMI!$A$2:$A$7,,1)</f>
        <v>2</v>
      </c>
      <c r="K775" t="str">
        <f>_xlfn.XLOOKUP(C775,dim_BMI!$C$2:$C$7,dim_BMI!$B$2:$B$7,,1)</f>
        <v>18.5 to 24.9 (Healthy Weight)</v>
      </c>
    </row>
    <row r="776" spans="1:11" x14ac:dyDescent="0.25">
      <c r="A776" s="1">
        <v>1047</v>
      </c>
      <c r="B776">
        <v>43</v>
      </c>
      <c r="C776">
        <v>25.08</v>
      </c>
      <c r="D776">
        <v>0</v>
      </c>
      <c r="E776">
        <f t="shared" si="12"/>
        <v>0</v>
      </c>
      <c r="F776">
        <v>7325.0482000000002</v>
      </c>
      <c r="G776" t="s">
        <v>14</v>
      </c>
      <c r="H776" t="s">
        <v>11</v>
      </c>
      <c r="I776" t="s">
        <v>7</v>
      </c>
      <c r="J776">
        <f>_xlfn.XLOOKUP(C776,dim_BMI!$C$2:$C$7,dim_BMI!$A$2:$A$7,,1)</f>
        <v>3</v>
      </c>
      <c r="K776" t="str">
        <f>_xlfn.XLOOKUP(C776,dim_BMI!$C$2:$C$7,dim_BMI!$B$2:$B$7,,1)</f>
        <v>25.0 to 29.9 (Overweight)</v>
      </c>
    </row>
    <row r="777" spans="1:11" x14ac:dyDescent="0.25">
      <c r="A777" s="1">
        <v>1153</v>
      </c>
      <c r="B777">
        <v>43</v>
      </c>
      <c r="C777">
        <v>32.56</v>
      </c>
      <c r="D777">
        <v>3</v>
      </c>
      <c r="E777">
        <f t="shared" si="12"/>
        <v>1</v>
      </c>
      <c r="F777">
        <v>40941.285400000001</v>
      </c>
      <c r="G777" t="s">
        <v>12</v>
      </c>
      <c r="H777" t="s">
        <v>8</v>
      </c>
      <c r="I777" t="s">
        <v>7</v>
      </c>
      <c r="J777">
        <f>_xlfn.XLOOKUP(C777,dim_BMI!$C$2:$C$7,dim_BMI!$A$2:$A$7,,1)</f>
        <v>4</v>
      </c>
      <c r="K777" t="str">
        <f>_xlfn.XLOOKUP(C777,dim_BMI!$C$2:$C$7,dim_BMI!$B$2:$B$7,,1)</f>
        <v>30.0 to 34.9 (Obesity Class 1)</v>
      </c>
    </row>
    <row r="778" spans="1:11" x14ac:dyDescent="0.25">
      <c r="A778" s="1">
        <v>1161</v>
      </c>
      <c r="B778">
        <v>43</v>
      </c>
      <c r="C778">
        <v>34.58</v>
      </c>
      <c r="D778">
        <v>1</v>
      </c>
      <c r="E778">
        <f t="shared" si="12"/>
        <v>0</v>
      </c>
      <c r="F778">
        <v>7727.2532000000001</v>
      </c>
      <c r="G778" t="s">
        <v>13</v>
      </c>
      <c r="H778" t="s">
        <v>11</v>
      </c>
      <c r="I778" t="s">
        <v>7</v>
      </c>
      <c r="J778">
        <f>_xlfn.XLOOKUP(C778,dim_BMI!$C$2:$C$7,dim_BMI!$A$2:$A$7,,1)</f>
        <v>4</v>
      </c>
      <c r="K778" t="str">
        <f>_xlfn.XLOOKUP(C778,dim_BMI!$C$2:$C$7,dim_BMI!$B$2:$B$7,,1)</f>
        <v>30.0 to 34.9 (Obesity Class 1)</v>
      </c>
    </row>
    <row r="779" spans="1:11" x14ac:dyDescent="0.25">
      <c r="A779" s="1">
        <v>1172</v>
      </c>
      <c r="B779">
        <v>43</v>
      </c>
      <c r="C779">
        <v>26.7</v>
      </c>
      <c r="D779">
        <v>2</v>
      </c>
      <c r="E779">
        <f t="shared" si="12"/>
        <v>1</v>
      </c>
      <c r="F779">
        <v>22478.6</v>
      </c>
      <c r="G779" t="s">
        <v>9</v>
      </c>
      <c r="H779" t="s">
        <v>8</v>
      </c>
      <c r="I779" t="s">
        <v>7</v>
      </c>
      <c r="J779">
        <f>_xlfn.XLOOKUP(C779,dim_BMI!$C$2:$C$7,dim_BMI!$A$2:$A$7,,1)</f>
        <v>3</v>
      </c>
      <c r="K779" t="str">
        <f>_xlfn.XLOOKUP(C779,dim_BMI!$C$2:$C$7,dim_BMI!$B$2:$B$7,,1)</f>
        <v>25.0 to 29.9 (Overweight)</v>
      </c>
    </row>
    <row r="780" spans="1:11" x14ac:dyDescent="0.25">
      <c r="A780" s="1">
        <v>1189</v>
      </c>
      <c r="B780">
        <v>43</v>
      </c>
      <c r="C780">
        <v>25.27</v>
      </c>
      <c r="D780">
        <v>1</v>
      </c>
      <c r="E780">
        <f t="shared" si="12"/>
        <v>1</v>
      </c>
      <c r="F780">
        <v>21771.3423</v>
      </c>
      <c r="G780" t="s">
        <v>14</v>
      </c>
      <c r="H780" t="s">
        <v>8</v>
      </c>
      <c r="I780" t="s">
        <v>7</v>
      </c>
      <c r="J780">
        <f>_xlfn.XLOOKUP(C780,dim_BMI!$C$2:$C$7,dim_BMI!$A$2:$A$7,,1)</f>
        <v>3</v>
      </c>
      <c r="K780" t="str">
        <f>_xlfn.XLOOKUP(C780,dim_BMI!$C$2:$C$7,dim_BMI!$B$2:$B$7,,1)</f>
        <v>25.0 to 29.9 (Overweight)</v>
      </c>
    </row>
    <row r="781" spans="1:11" x14ac:dyDescent="0.25">
      <c r="A781" s="1">
        <v>1264</v>
      </c>
      <c r="B781">
        <v>43</v>
      </c>
      <c r="C781">
        <v>29.9</v>
      </c>
      <c r="D781">
        <v>1</v>
      </c>
      <c r="E781">
        <f t="shared" si="12"/>
        <v>0</v>
      </c>
      <c r="F781">
        <v>7337.7479999999996</v>
      </c>
      <c r="G781" t="s">
        <v>9</v>
      </c>
      <c r="H781" t="s">
        <v>11</v>
      </c>
      <c r="I781" t="s">
        <v>7</v>
      </c>
      <c r="J781">
        <f>_xlfn.XLOOKUP(C781,dim_BMI!$C$2:$C$7,dim_BMI!$A$2:$A$7,,1)</f>
        <v>3</v>
      </c>
      <c r="K781" t="str">
        <f>_xlfn.XLOOKUP(C781,dim_BMI!$C$2:$C$7,dim_BMI!$B$2:$B$7,,1)</f>
        <v>25.0 to 29.9 (Overweight)</v>
      </c>
    </row>
    <row r="782" spans="1:11" x14ac:dyDescent="0.25">
      <c r="A782" s="1">
        <v>1273</v>
      </c>
      <c r="B782">
        <v>43</v>
      </c>
      <c r="C782">
        <v>25.52</v>
      </c>
      <c r="D782">
        <v>5</v>
      </c>
      <c r="E782">
        <f t="shared" si="12"/>
        <v>0</v>
      </c>
      <c r="F782">
        <v>14478.33015</v>
      </c>
      <c r="G782" t="s">
        <v>12</v>
      </c>
      <c r="H782" t="s">
        <v>11</v>
      </c>
      <c r="I782" t="s">
        <v>10</v>
      </c>
      <c r="J782">
        <f>_xlfn.XLOOKUP(C782,dim_BMI!$C$2:$C$7,dim_BMI!$A$2:$A$7,,1)</f>
        <v>3</v>
      </c>
      <c r="K782" t="str">
        <f>_xlfn.XLOOKUP(C782,dim_BMI!$C$2:$C$7,dim_BMI!$B$2:$B$7,,1)</f>
        <v>25.0 to 29.9 (Overweight)</v>
      </c>
    </row>
    <row r="783" spans="1:11" x14ac:dyDescent="0.25">
      <c r="A783" s="1">
        <v>1304</v>
      </c>
      <c r="B783">
        <v>43</v>
      </c>
      <c r="C783">
        <v>27.8</v>
      </c>
      <c r="D783">
        <v>0</v>
      </c>
      <c r="E783">
        <f t="shared" si="12"/>
        <v>1</v>
      </c>
      <c r="F783">
        <v>37829.724199999997</v>
      </c>
      <c r="G783" t="s">
        <v>9</v>
      </c>
      <c r="H783" t="s">
        <v>8</v>
      </c>
      <c r="I783" t="s">
        <v>10</v>
      </c>
      <c r="J783">
        <f>_xlfn.XLOOKUP(C783,dim_BMI!$C$2:$C$7,dim_BMI!$A$2:$A$7,,1)</f>
        <v>3</v>
      </c>
      <c r="K783" t="str">
        <f>_xlfn.XLOOKUP(C783,dim_BMI!$C$2:$C$7,dim_BMI!$B$2:$B$7,,1)</f>
        <v>25.0 to 29.9 (Overweight)</v>
      </c>
    </row>
    <row r="784" spans="1:11" x14ac:dyDescent="0.25">
      <c r="A784" s="1">
        <v>75</v>
      </c>
      <c r="B784">
        <v>44</v>
      </c>
      <c r="C784">
        <v>27.4</v>
      </c>
      <c r="D784">
        <v>2</v>
      </c>
      <c r="E784">
        <f t="shared" si="12"/>
        <v>0</v>
      </c>
      <c r="F784">
        <v>7726.8540000000003</v>
      </c>
      <c r="G784" t="s">
        <v>9</v>
      </c>
      <c r="H784" t="s">
        <v>11</v>
      </c>
      <c r="I784" t="s">
        <v>10</v>
      </c>
      <c r="J784">
        <f>_xlfn.XLOOKUP(C784,dim_BMI!$C$2:$C$7,dim_BMI!$A$2:$A$7,,1)</f>
        <v>3</v>
      </c>
      <c r="K784" t="str">
        <f>_xlfn.XLOOKUP(C784,dim_BMI!$C$2:$C$7,dim_BMI!$B$2:$B$7,,1)</f>
        <v>25.0 to 29.9 (Overweight)</v>
      </c>
    </row>
    <row r="785" spans="1:11" x14ac:dyDescent="0.25">
      <c r="A785" s="1">
        <v>121</v>
      </c>
      <c r="B785">
        <v>44</v>
      </c>
      <c r="C785">
        <v>37.1</v>
      </c>
      <c r="D785">
        <v>2</v>
      </c>
      <c r="E785">
        <f t="shared" si="12"/>
        <v>0</v>
      </c>
      <c r="F785">
        <v>7740.3370000000004</v>
      </c>
      <c r="G785" t="s">
        <v>9</v>
      </c>
      <c r="H785" t="s">
        <v>11</v>
      </c>
      <c r="I785" t="s">
        <v>10</v>
      </c>
      <c r="J785">
        <f>_xlfn.XLOOKUP(C785,dim_BMI!$C$2:$C$7,dim_BMI!$A$2:$A$7,,1)</f>
        <v>5</v>
      </c>
      <c r="K785" t="str">
        <f>_xlfn.XLOOKUP(C785,dim_BMI!$C$2:$C$7,dim_BMI!$B$2:$B$7,,1)</f>
        <v>35 to 39.9 (Obesity Class 2)</v>
      </c>
    </row>
    <row r="786" spans="1:11" x14ac:dyDescent="0.25">
      <c r="A786" s="1">
        <v>124</v>
      </c>
      <c r="B786">
        <v>44</v>
      </c>
      <c r="C786">
        <v>31.35</v>
      </c>
      <c r="D786">
        <v>1</v>
      </c>
      <c r="E786">
        <f t="shared" si="12"/>
        <v>1</v>
      </c>
      <c r="F786">
        <v>39556.494500000001</v>
      </c>
      <c r="G786" t="s">
        <v>14</v>
      </c>
      <c r="H786" t="s">
        <v>8</v>
      </c>
      <c r="I786" t="s">
        <v>10</v>
      </c>
      <c r="J786">
        <f>_xlfn.XLOOKUP(C786,dim_BMI!$C$2:$C$7,dim_BMI!$A$2:$A$7,,1)</f>
        <v>4</v>
      </c>
      <c r="K786" t="str">
        <f>_xlfn.XLOOKUP(C786,dim_BMI!$C$2:$C$7,dim_BMI!$B$2:$B$7,,1)</f>
        <v>30.0 to 34.9 (Obesity Class 1)</v>
      </c>
    </row>
    <row r="787" spans="1:11" x14ac:dyDescent="0.25">
      <c r="A787" s="1">
        <v>156</v>
      </c>
      <c r="B787">
        <v>44</v>
      </c>
      <c r="C787">
        <v>39.520000000000003</v>
      </c>
      <c r="D787">
        <v>0</v>
      </c>
      <c r="E787">
        <f t="shared" si="12"/>
        <v>0</v>
      </c>
      <c r="F787">
        <v>6948.7007999999996</v>
      </c>
      <c r="G787" t="s">
        <v>13</v>
      </c>
      <c r="H787" t="s">
        <v>11</v>
      </c>
      <c r="I787" t="s">
        <v>10</v>
      </c>
      <c r="J787">
        <f>_xlfn.XLOOKUP(C787,dim_BMI!$C$2:$C$7,dim_BMI!$A$2:$A$7,,1)</f>
        <v>5</v>
      </c>
      <c r="K787" t="str">
        <f>_xlfn.XLOOKUP(C787,dim_BMI!$C$2:$C$7,dim_BMI!$B$2:$B$7,,1)</f>
        <v>35 to 39.9 (Obesity Class 2)</v>
      </c>
    </row>
    <row r="788" spans="1:11" x14ac:dyDescent="0.25">
      <c r="A788" s="1">
        <v>184</v>
      </c>
      <c r="B788">
        <v>44</v>
      </c>
      <c r="C788">
        <v>26.41</v>
      </c>
      <c r="D788">
        <v>0</v>
      </c>
      <c r="E788">
        <f t="shared" si="12"/>
        <v>0</v>
      </c>
      <c r="F788">
        <v>7419.4778999999999</v>
      </c>
      <c r="G788" t="s">
        <v>13</v>
      </c>
      <c r="H788" t="s">
        <v>11</v>
      </c>
      <c r="I788" t="s">
        <v>7</v>
      </c>
      <c r="J788">
        <f>_xlfn.XLOOKUP(C788,dim_BMI!$C$2:$C$7,dim_BMI!$A$2:$A$7,,1)</f>
        <v>3</v>
      </c>
      <c r="K788" t="str">
        <f>_xlfn.XLOOKUP(C788,dim_BMI!$C$2:$C$7,dim_BMI!$B$2:$B$7,,1)</f>
        <v>25.0 to 29.9 (Overweight)</v>
      </c>
    </row>
    <row r="789" spans="1:11" x14ac:dyDescent="0.25">
      <c r="A789" s="1">
        <v>185</v>
      </c>
      <c r="B789">
        <v>44</v>
      </c>
      <c r="C789">
        <v>30.69</v>
      </c>
      <c r="D789">
        <v>2</v>
      </c>
      <c r="E789">
        <f t="shared" si="12"/>
        <v>0</v>
      </c>
      <c r="F789">
        <v>7731.4270999999999</v>
      </c>
      <c r="G789" t="s">
        <v>12</v>
      </c>
      <c r="H789" t="s">
        <v>11</v>
      </c>
      <c r="I789" t="s">
        <v>10</v>
      </c>
      <c r="J789">
        <f>_xlfn.XLOOKUP(C789,dim_BMI!$C$2:$C$7,dim_BMI!$A$2:$A$7,,1)</f>
        <v>4</v>
      </c>
      <c r="K789" t="str">
        <f>_xlfn.XLOOKUP(C789,dim_BMI!$C$2:$C$7,dim_BMI!$B$2:$B$7,,1)</f>
        <v>30.0 to 34.9 (Obesity Class 1)</v>
      </c>
    </row>
    <row r="790" spans="1:11" x14ac:dyDescent="0.25">
      <c r="A790" s="1">
        <v>240</v>
      </c>
      <c r="B790">
        <v>44</v>
      </c>
      <c r="C790">
        <v>38.06</v>
      </c>
      <c r="D790">
        <v>1</v>
      </c>
      <c r="E790">
        <f t="shared" si="12"/>
        <v>0</v>
      </c>
      <c r="F790">
        <v>7152.6714000000002</v>
      </c>
      <c r="G790" t="s">
        <v>12</v>
      </c>
      <c r="H790" t="s">
        <v>11</v>
      </c>
      <c r="I790" t="s">
        <v>10</v>
      </c>
      <c r="J790">
        <f>_xlfn.XLOOKUP(C790,dim_BMI!$C$2:$C$7,dim_BMI!$A$2:$A$7,,1)</f>
        <v>5</v>
      </c>
      <c r="K790" t="str">
        <f>_xlfn.XLOOKUP(C790,dim_BMI!$C$2:$C$7,dim_BMI!$B$2:$B$7,,1)</f>
        <v>35 to 39.9 (Obesity Class 2)</v>
      </c>
    </row>
    <row r="791" spans="1:11" x14ac:dyDescent="0.25">
      <c r="A791" s="1">
        <v>319</v>
      </c>
      <c r="B791">
        <v>44</v>
      </c>
      <c r="C791">
        <v>27.645</v>
      </c>
      <c r="D791">
        <v>0</v>
      </c>
      <c r="E791">
        <f t="shared" si="12"/>
        <v>0</v>
      </c>
      <c r="F791">
        <v>7421.1945500000002</v>
      </c>
      <c r="G791" t="s">
        <v>13</v>
      </c>
      <c r="H791" t="s">
        <v>11</v>
      </c>
      <c r="I791" t="s">
        <v>7</v>
      </c>
      <c r="J791">
        <f>_xlfn.XLOOKUP(C791,dim_BMI!$C$2:$C$7,dim_BMI!$A$2:$A$7,,1)</f>
        <v>3</v>
      </c>
      <c r="K791" t="str">
        <f>_xlfn.XLOOKUP(C791,dim_BMI!$C$2:$C$7,dim_BMI!$B$2:$B$7,,1)</f>
        <v>25.0 to 29.9 (Overweight)</v>
      </c>
    </row>
    <row r="792" spans="1:11" x14ac:dyDescent="0.25">
      <c r="A792" s="1">
        <v>369</v>
      </c>
      <c r="B792">
        <v>44</v>
      </c>
      <c r="C792">
        <v>32.015000000000001</v>
      </c>
      <c r="D792">
        <v>2</v>
      </c>
      <c r="E792">
        <f t="shared" si="12"/>
        <v>0</v>
      </c>
      <c r="F792">
        <v>8116.2688500000004</v>
      </c>
      <c r="G792" t="s">
        <v>13</v>
      </c>
      <c r="H792" t="s">
        <v>11</v>
      </c>
      <c r="I792" t="s">
        <v>10</v>
      </c>
      <c r="J792">
        <f>_xlfn.XLOOKUP(C792,dim_BMI!$C$2:$C$7,dim_BMI!$A$2:$A$7,,1)</f>
        <v>4</v>
      </c>
      <c r="K792" t="str">
        <f>_xlfn.XLOOKUP(C792,dim_BMI!$C$2:$C$7,dim_BMI!$B$2:$B$7,,1)</f>
        <v>30.0 to 34.9 (Obesity Class 1)</v>
      </c>
    </row>
    <row r="793" spans="1:11" x14ac:dyDescent="0.25">
      <c r="A793" s="1">
        <v>385</v>
      </c>
      <c r="B793">
        <v>44</v>
      </c>
      <c r="C793">
        <v>22.135000000000002</v>
      </c>
      <c r="D793">
        <v>2</v>
      </c>
      <c r="E793">
        <f t="shared" si="12"/>
        <v>0</v>
      </c>
      <c r="F793">
        <v>8302.5356499999998</v>
      </c>
      <c r="G793" t="s">
        <v>14</v>
      </c>
      <c r="H793" t="s">
        <v>11</v>
      </c>
      <c r="I793" t="s">
        <v>10</v>
      </c>
      <c r="J793">
        <f>_xlfn.XLOOKUP(C793,dim_BMI!$C$2:$C$7,dim_BMI!$A$2:$A$7,,1)</f>
        <v>2</v>
      </c>
      <c r="K793" t="str">
        <f>_xlfn.XLOOKUP(C793,dim_BMI!$C$2:$C$7,dim_BMI!$B$2:$B$7,,1)</f>
        <v>18.5 to 24.9 (Healthy Weight)</v>
      </c>
    </row>
    <row r="794" spans="1:11" x14ac:dyDescent="0.25">
      <c r="A794" s="1">
        <v>412</v>
      </c>
      <c r="B794">
        <v>44</v>
      </c>
      <c r="C794">
        <v>20.234999999999999</v>
      </c>
      <c r="D794">
        <v>1</v>
      </c>
      <c r="E794">
        <f t="shared" si="12"/>
        <v>1</v>
      </c>
      <c r="F794">
        <v>19594.809649999999</v>
      </c>
      <c r="G794" t="s">
        <v>14</v>
      </c>
      <c r="H794" t="s">
        <v>8</v>
      </c>
      <c r="I794" t="s">
        <v>7</v>
      </c>
      <c r="J794">
        <f>_xlfn.XLOOKUP(C794,dim_BMI!$C$2:$C$7,dim_BMI!$A$2:$A$7,,1)</f>
        <v>2</v>
      </c>
      <c r="K794" t="str">
        <f>_xlfn.XLOOKUP(C794,dim_BMI!$C$2:$C$7,dim_BMI!$B$2:$B$7,,1)</f>
        <v>18.5 to 24.9 (Healthy Weight)</v>
      </c>
    </row>
    <row r="795" spans="1:11" x14ac:dyDescent="0.25">
      <c r="A795" s="1">
        <v>489</v>
      </c>
      <c r="B795">
        <v>44</v>
      </c>
      <c r="C795">
        <v>38.06</v>
      </c>
      <c r="D795">
        <v>0</v>
      </c>
      <c r="E795">
        <f t="shared" si="12"/>
        <v>1</v>
      </c>
      <c r="F795">
        <v>48885.135609999998</v>
      </c>
      <c r="G795" t="s">
        <v>12</v>
      </c>
      <c r="H795" t="s">
        <v>8</v>
      </c>
      <c r="I795" t="s">
        <v>7</v>
      </c>
      <c r="J795">
        <f>_xlfn.XLOOKUP(C795,dim_BMI!$C$2:$C$7,dim_BMI!$A$2:$A$7,,1)</f>
        <v>5</v>
      </c>
      <c r="K795" t="str">
        <f>_xlfn.XLOOKUP(C795,dim_BMI!$C$2:$C$7,dim_BMI!$B$2:$B$7,,1)</f>
        <v>35 to 39.9 (Obesity Class 2)</v>
      </c>
    </row>
    <row r="796" spans="1:11" x14ac:dyDescent="0.25">
      <c r="A796" s="1">
        <v>499</v>
      </c>
      <c r="B796">
        <v>44</v>
      </c>
      <c r="C796">
        <v>23.98</v>
      </c>
      <c r="D796">
        <v>2</v>
      </c>
      <c r="E796">
        <f t="shared" si="12"/>
        <v>0</v>
      </c>
      <c r="F796">
        <v>8211.1002000000008</v>
      </c>
      <c r="G796" t="s">
        <v>12</v>
      </c>
      <c r="H796" t="s">
        <v>11</v>
      </c>
      <c r="I796" t="s">
        <v>7</v>
      </c>
      <c r="J796">
        <f>_xlfn.XLOOKUP(C796,dim_BMI!$C$2:$C$7,dim_BMI!$A$2:$A$7,,1)</f>
        <v>2</v>
      </c>
      <c r="K796" t="str">
        <f>_xlfn.XLOOKUP(C796,dim_BMI!$C$2:$C$7,dim_BMI!$B$2:$B$7,,1)</f>
        <v>18.5 to 24.9 (Healthy Weight)</v>
      </c>
    </row>
    <row r="797" spans="1:11" x14ac:dyDescent="0.25">
      <c r="A797" s="1">
        <v>630</v>
      </c>
      <c r="B797">
        <v>44</v>
      </c>
      <c r="C797">
        <v>38.950000000000003</v>
      </c>
      <c r="D797">
        <v>0</v>
      </c>
      <c r="E797">
        <f t="shared" si="12"/>
        <v>1</v>
      </c>
      <c r="F797">
        <v>42983.458500000001</v>
      </c>
      <c r="G797" t="s">
        <v>13</v>
      </c>
      <c r="H797" t="s">
        <v>8</v>
      </c>
      <c r="I797" t="s">
        <v>7</v>
      </c>
      <c r="J797">
        <f>_xlfn.XLOOKUP(C797,dim_BMI!$C$2:$C$7,dim_BMI!$A$2:$A$7,,1)</f>
        <v>5</v>
      </c>
      <c r="K797" t="str">
        <f>_xlfn.XLOOKUP(C797,dim_BMI!$C$2:$C$7,dim_BMI!$B$2:$B$7,,1)</f>
        <v>35 to 39.9 (Obesity Class 2)</v>
      </c>
    </row>
    <row r="798" spans="1:11" x14ac:dyDescent="0.25">
      <c r="A798" s="1">
        <v>675</v>
      </c>
      <c r="B798">
        <v>44</v>
      </c>
      <c r="C798">
        <v>43.89</v>
      </c>
      <c r="D798">
        <v>2</v>
      </c>
      <c r="E798">
        <f t="shared" si="12"/>
        <v>1</v>
      </c>
      <c r="F798">
        <v>46200.985099999998</v>
      </c>
      <c r="G798" t="s">
        <v>12</v>
      </c>
      <c r="H798" t="s">
        <v>8</v>
      </c>
      <c r="I798" t="s">
        <v>7</v>
      </c>
      <c r="J798">
        <f>_xlfn.XLOOKUP(C798,dim_BMI!$C$2:$C$7,dim_BMI!$A$2:$A$7,,1)</f>
        <v>6</v>
      </c>
      <c r="K798" t="str">
        <f>_xlfn.XLOOKUP(C798,dim_BMI!$C$2:$C$7,dim_BMI!$B$2:$B$7,,1)</f>
        <v>40 or higher (Severe Obesity Class 3)</v>
      </c>
    </row>
    <row r="799" spans="1:11" x14ac:dyDescent="0.25">
      <c r="A799" s="1">
        <v>773</v>
      </c>
      <c r="B799">
        <v>44</v>
      </c>
      <c r="C799">
        <v>36.479999999999997</v>
      </c>
      <c r="D799">
        <v>0</v>
      </c>
      <c r="E799">
        <f t="shared" si="12"/>
        <v>0</v>
      </c>
      <c r="F799">
        <v>12797.20962</v>
      </c>
      <c r="G799" t="s">
        <v>14</v>
      </c>
      <c r="H799" t="s">
        <v>11</v>
      </c>
      <c r="I799" t="s">
        <v>7</v>
      </c>
      <c r="J799">
        <f>_xlfn.XLOOKUP(C799,dim_BMI!$C$2:$C$7,dim_BMI!$A$2:$A$7,,1)</f>
        <v>5</v>
      </c>
      <c r="K799" t="str">
        <f>_xlfn.XLOOKUP(C799,dim_BMI!$C$2:$C$7,dim_BMI!$B$2:$B$7,,1)</f>
        <v>35 to 39.9 (Obesity Class 2)</v>
      </c>
    </row>
    <row r="800" spans="1:11" x14ac:dyDescent="0.25">
      <c r="A800" s="1">
        <v>824</v>
      </c>
      <c r="B800">
        <v>44</v>
      </c>
      <c r="C800">
        <v>29.81</v>
      </c>
      <c r="D800">
        <v>2</v>
      </c>
      <c r="E800">
        <f t="shared" si="12"/>
        <v>0</v>
      </c>
      <c r="F800">
        <v>8219.2039000000004</v>
      </c>
      <c r="G800" t="s">
        <v>12</v>
      </c>
      <c r="H800" t="s">
        <v>11</v>
      </c>
      <c r="I800" t="s">
        <v>7</v>
      </c>
      <c r="J800">
        <f>_xlfn.XLOOKUP(C800,dim_BMI!$C$2:$C$7,dim_BMI!$A$2:$A$7,,1)</f>
        <v>3</v>
      </c>
      <c r="K800" t="str">
        <f>_xlfn.XLOOKUP(C800,dim_BMI!$C$2:$C$7,dim_BMI!$B$2:$B$7,,1)</f>
        <v>25.0 to 29.9 (Overweight)</v>
      </c>
    </row>
    <row r="801" spans="1:11" x14ac:dyDescent="0.25">
      <c r="A801" s="1">
        <v>875</v>
      </c>
      <c r="B801">
        <v>44</v>
      </c>
      <c r="C801">
        <v>21.85</v>
      </c>
      <c r="D801">
        <v>3</v>
      </c>
      <c r="E801">
        <f t="shared" si="12"/>
        <v>0</v>
      </c>
      <c r="F801">
        <v>8891.1394999999993</v>
      </c>
      <c r="G801" t="s">
        <v>14</v>
      </c>
      <c r="H801" t="s">
        <v>11</v>
      </c>
      <c r="I801" t="s">
        <v>10</v>
      </c>
      <c r="J801">
        <f>_xlfn.XLOOKUP(C801,dim_BMI!$C$2:$C$7,dim_BMI!$A$2:$A$7,,1)</f>
        <v>2</v>
      </c>
      <c r="K801" t="str">
        <f>_xlfn.XLOOKUP(C801,dim_BMI!$C$2:$C$7,dim_BMI!$B$2:$B$7,,1)</f>
        <v>18.5 to 24.9 (Healthy Weight)</v>
      </c>
    </row>
    <row r="802" spans="1:11" x14ac:dyDescent="0.25">
      <c r="A802" s="1">
        <v>908</v>
      </c>
      <c r="B802">
        <v>44</v>
      </c>
      <c r="C802">
        <v>32.340000000000003</v>
      </c>
      <c r="D802">
        <v>1</v>
      </c>
      <c r="E802">
        <f t="shared" si="12"/>
        <v>0</v>
      </c>
      <c r="F802">
        <v>7633.7205999999996</v>
      </c>
      <c r="G802" t="s">
        <v>12</v>
      </c>
      <c r="H802" t="s">
        <v>11</v>
      </c>
      <c r="I802" t="s">
        <v>7</v>
      </c>
      <c r="J802">
        <f>_xlfn.XLOOKUP(C802,dim_BMI!$C$2:$C$7,dim_BMI!$A$2:$A$7,,1)</f>
        <v>4</v>
      </c>
      <c r="K802" t="str">
        <f>_xlfn.XLOOKUP(C802,dim_BMI!$C$2:$C$7,dim_BMI!$B$2:$B$7,,1)</f>
        <v>30.0 to 34.9 (Obesity Class 1)</v>
      </c>
    </row>
    <row r="803" spans="1:11" x14ac:dyDescent="0.25">
      <c r="A803" s="1">
        <v>914</v>
      </c>
      <c r="B803">
        <v>44</v>
      </c>
      <c r="C803">
        <v>27.5</v>
      </c>
      <c r="D803">
        <v>1</v>
      </c>
      <c r="E803">
        <f t="shared" si="12"/>
        <v>0</v>
      </c>
      <c r="F803">
        <v>7626.9930000000004</v>
      </c>
      <c r="G803" t="s">
        <v>9</v>
      </c>
      <c r="H803" t="s">
        <v>11</v>
      </c>
      <c r="I803" t="s">
        <v>7</v>
      </c>
      <c r="J803">
        <f>_xlfn.XLOOKUP(C803,dim_BMI!$C$2:$C$7,dim_BMI!$A$2:$A$7,,1)</f>
        <v>3</v>
      </c>
      <c r="K803" t="str">
        <f>_xlfn.XLOOKUP(C803,dim_BMI!$C$2:$C$7,dim_BMI!$B$2:$B$7,,1)</f>
        <v>25.0 to 29.9 (Overweight)</v>
      </c>
    </row>
    <row r="804" spans="1:11" x14ac:dyDescent="0.25">
      <c r="A804" s="1">
        <v>937</v>
      </c>
      <c r="B804">
        <v>44</v>
      </c>
      <c r="C804">
        <v>29.734999999999999</v>
      </c>
      <c r="D804">
        <v>2</v>
      </c>
      <c r="E804">
        <f t="shared" si="12"/>
        <v>0</v>
      </c>
      <c r="F804">
        <v>32108.662820000001</v>
      </c>
      <c r="G804" t="s">
        <v>14</v>
      </c>
      <c r="H804" t="s">
        <v>11</v>
      </c>
      <c r="I804" t="s">
        <v>10</v>
      </c>
      <c r="J804">
        <f>_xlfn.XLOOKUP(C804,dim_BMI!$C$2:$C$7,dim_BMI!$A$2:$A$7,,1)</f>
        <v>3</v>
      </c>
      <c r="K804" t="str">
        <f>_xlfn.XLOOKUP(C804,dim_BMI!$C$2:$C$7,dim_BMI!$B$2:$B$7,,1)</f>
        <v>25.0 to 29.9 (Overweight)</v>
      </c>
    </row>
    <row r="805" spans="1:11" x14ac:dyDescent="0.25">
      <c r="A805" s="1">
        <v>954</v>
      </c>
      <c r="B805">
        <v>44</v>
      </c>
      <c r="C805">
        <v>30.2</v>
      </c>
      <c r="D805">
        <v>2</v>
      </c>
      <c r="E805">
        <f t="shared" si="12"/>
        <v>1</v>
      </c>
      <c r="F805">
        <v>38998.546000000002</v>
      </c>
      <c r="G805" t="s">
        <v>9</v>
      </c>
      <c r="H805" t="s">
        <v>8</v>
      </c>
      <c r="I805" t="s">
        <v>10</v>
      </c>
      <c r="J805">
        <f>_xlfn.XLOOKUP(C805,dim_BMI!$C$2:$C$7,dim_BMI!$A$2:$A$7,,1)</f>
        <v>4</v>
      </c>
      <c r="K805" t="str">
        <f>_xlfn.XLOOKUP(C805,dim_BMI!$C$2:$C$7,dim_BMI!$B$2:$B$7,,1)</f>
        <v>30.0 to 34.9 (Obesity Class 1)</v>
      </c>
    </row>
    <row r="806" spans="1:11" x14ac:dyDescent="0.25">
      <c r="A806" s="1">
        <v>968</v>
      </c>
      <c r="B806">
        <v>44</v>
      </c>
      <c r="C806">
        <v>25.364999999999998</v>
      </c>
      <c r="D806">
        <v>1</v>
      </c>
      <c r="E806">
        <f t="shared" si="12"/>
        <v>0</v>
      </c>
      <c r="F806">
        <v>7518.0253499999999</v>
      </c>
      <c r="G806" t="s">
        <v>13</v>
      </c>
      <c r="H806" t="s">
        <v>11</v>
      </c>
      <c r="I806" t="s">
        <v>10</v>
      </c>
      <c r="J806">
        <f>_xlfn.XLOOKUP(C806,dim_BMI!$C$2:$C$7,dim_BMI!$A$2:$A$7,,1)</f>
        <v>3</v>
      </c>
      <c r="K806" t="str">
        <f>_xlfn.XLOOKUP(C806,dim_BMI!$C$2:$C$7,dim_BMI!$B$2:$B$7,,1)</f>
        <v>25.0 to 29.9 (Overweight)</v>
      </c>
    </row>
    <row r="807" spans="1:11" x14ac:dyDescent="0.25">
      <c r="A807" s="1">
        <v>986</v>
      </c>
      <c r="B807">
        <v>44</v>
      </c>
      <c r="C807">
        <v>25.8</v>
      </c>
      <c r="D807">
        <v>1</v>
      </c>
      <c r="E807">
        <f t="shared" si="12"/>
        <v>0</v>
      </c>
      <c r="F807">
        <v>7624.63</v>
      </c>
      <c r="G807" t="s">
        <v>9</v>
      </c>
      <c r="H807" t="s">
        <v>11</v>
      </c>
      <c r="I807" t="s">
        <v>7</v>
      </c>
      <c r="J807">
        <f>_xlfn.XLOOKUP(C807,dim_BMI!$C$2:$C$7,dim_BMI!$A$2:$A$7,,1)</f>
        <v>3</v>
      </c>
      <c r="K807" t="str">
        <f>_xlfn.XLOOKUP(C807,dim_BMI!$C$2:$C$7,dim_BMI!$B$2:$B$7,,1)</f>
        <v>25.0 to 29.9 (Overweight)</v>
      </c>
    </row>
    <row r="808" spans="1:11" x14ac:dyDescent="0.25">
      <c r="A808" s="1">
        <v>1051</v>
      </c>
      <c r="B808">
        <v>44</v>
      </c>
      <c r="C808">
        <v>36.954999999999998</v>
      </c>
      <c r="D808">
        <v>1</v>
      </c>
      <c r="E808">
        <f t="shared" si="12"/>
        <v>0</v>
      </c>
      <c r="F808">
        <v>8023.1354499999998</v>
      </c>
      <c r="G808" t="s">
        <v>13</v>
      </c>
      <c r="H808" t="s">
        <v>11</v>
      </c>
      <c r="I808" t="s">
        <v>7</v>
      </c>
      <c r="J808">
        <f>_xlfn.XLOOKUP(C808,dim_BMI!$C$2:$C$7,dim_BMI!$A$2:$A$7,,1)</f>
        <v>5</v>
      </c>
      <c r="K808" t="str">
        <f>_xlfn.XLOOKUP(C808,dim_BMI!$C$2:$C$7,dim_BMI!$B$2:$B$7,,1)</f>
        <v>35 to 39.9 (Obesity Class 2)</v>
      </c>
    </row>
    <row r="809" spans="1:11" x14ac:dyDescent="0.25">
      <c r="A809" s="1">
        <v>1137</v>
      </c>
      <c r="B809">
        <v>44</v>
      </c>
      <c r="C809">
        <v>25</v>
      </c>
      <c r="D809">
        <v>1</v>
      </c>
      <c r="E809">
        <f t="shared" si="12"/>
        <v>0</v>
      </c>
      <c r="F809">
        <v>7623.518</v>
      </c>
      <c r="G809" t="s">
        <v>9</v>
      </c>
      <c r="H809" t="s">
        <v>11</v>
      </c>
      <c r="I809" t="s">
        <v>7</v>
      </c>
      <c r="J809">
        <f>_xlfn.XLOOKUP(C809,dim_BMI!$C$2:$C$7,dim_BMI!$A$2:$A$7,,1)</f>
        <v>3</v>
      </c>
      <c r="K809" t="str">
        <f>_xlfn.XLOOKUP(C809,dim_BMI!$C$2:$C$7,dim_BMI!$B$2:$B$7,,1)</f>
        <v>25.0 to 29.9 (Overweight)</v>
      </c>
    </row>
    <row r="810" spans="1:11" x14ac:dyDescent="0.25">
      <c r="A810" s="1">
        <v>1290</v>
      </c>
      <c r="B810">
        <v>44</v>
      </c>
      <c r="C810">
        <v>34.32</v>
      </c>
      <c r="D810">
        <v>1</v>
      </c>
      <c r="E810">
        <f t="shared" si="12"/>
        <v>0</v>
      </c>
      <c r="F810">
        <v>7147.4727999999996</v>
      </c>
      <c r="G810" t="s">
        <v>12</v>
      </c>
      <c r="H810" t="s">
        <v>11</v>
      </c>
      <c r="I810" t="s">
        <v>10</v>
      </c>
      <c r="J810">
        <f>_xlfn.XLOOKUP(C810,dim_BMI!$C$2:$C$7,dim_BMI!$A$2:$A$7,,1)</f>
        <v>4</v>
      </c>
      <c r="K810" t="str">
        <f>_xlfn.XLOOKUP(C810,dim_BMI!$C$2:$C$7,dim_BMI!$B$2:$B$7,,1)</f>
        <v>30.0 to 34.9 (Obesity Class 1)</v>
      </c>
    </row>
    <row r="811" spans="1:11" x14ac:dyDescent="0.25">
      <c r="A811" s="1">
        <v>82</v>
      </c>
      <c r="B811">
        <v>45</v>
      </c>
      <c r="C811">
        <v>38.284999999999997</v>
      </c>
      <c r="D811">
        <v>0</v>
      </c>
      <c r="E811">
        <f t="shared" si="12"/>
        <v>0</v>
      </c>
      <c r="F811">
        <v>7935.29115</v>
      </c>
      <c r="G811" t="s">
        <v>14</v>
      </c>
      <c r="H811" t="s">
        <v>11</v>
      </c>
      <c r="I811" t="s">
        <v>7</v>
      </c>
      <c r="J811">
        <f>_xlfn.XLOOKUP(C811,dim_BMI!$C$2:$C$7,dim_BMI!$A$2:$A$7,,1)</f>
        <v>5</v>
      </c>
      <c r="K811" t="str">
        <f>_xlfn.XLOOKUP(C811,dim_BMI!$C$2:$C$7,dim_BMI!$B$2:$B$7,,1)</f>
        <v>35 to 39.9 (Obesity Class 2)</v>
      </c>
    </row>
    <row r="812" spans="1:11" x14ac:dyDescent="0.25">
      <c r="A812" s="1">
        <v>86</v>
      </c>
      <c r="B812">
        <v>45</v>
      </c>
      <c r="C812">
        <v>22.895</v>
      </c>
      <c r="D812">
        <v>2</v>
      </c>
      <c r="E812">
        <f t="shared" si="12"/>
        <v>1</v>
      </c>
      <c r="F812">
        <v>21098.554049999999</v>
      </c>
      <c r="G812" t="s">
        <v>13</v>
      </c>
      <c r="H812" t="s">
        <v>8</v>
      </c>
      <c r="I812" t="s">
        <v>10</v>
      </c>
      <c r="J812">
        <f>_xlfn.XLOOKUP(C812,dim_BMI!$C$2:$C$7,dim_BMI!$A$2:$A$7,,1)</f>
        <v>2</v>
      </c>
      <c r="K812" t="str">
        <f>_xlfn.XLOOKUP(C812,dim_BMI!$C$2:$C$7,dim_BMI!$B$2:$B$7,,1)</f>
        <v>18.5 to 24.9 (Healthy Weight)</v>
      </c>
    </row>
    <row r="813" spans="1:11" x14ac:dyDescent="0.25">
      <c r="A813" s="1">
        <v>198</v>
      </c>
      <c r="B813">
        <v>45</v>
      </c>
      <c r="C813">
        <v>28.6</v>
      </c>
      <c r="D813">
        <v>2</v>
      </c>
      <c r="E813">
        <f t="shared" si="12"/>
        <v>0</v>
      </c>
      <c r="F813">
        <v>8516.8289999999997</v>
      </c>
      <c r="G813" t="s">
        <v>12</v>
      </c>
      <c r="H813" t="s">
        <v>11</v>
      </c>
      <c r="I813" t="s">
        <v>7</v>
      </c>
      <c r="J813">
        <f>_xlfn.XLOOKUP(C813,dim_BMI!$C$2:$C$7,dim_BMI!$A$2:$A$7,,1)</f>
        <v>3</v>
      </c>
      <c r="K813" t="str">
        <f>_xlfn.XLOOKUP(C813,dim_BMI!$C$2:$C$7,dim_BMI!$B$2:$B$7,,1)</f>
        <v>25.0 to 29.9 (Overweight)</v>
      </c>
    </row>
    <row r="814" spans="1:11" x14ac:dyDescent="0.25">
      <c r="A814" s="1">
        <v>215</v>
      </c>
      <c r="B814">
        <v>45</v>
      </c>
      <c r="C814">
        <v>30.9</v>
      </c>
      <c r="D814">
        <v>2</v>
      </c>
      <c r="E814">
        <f t="shared" si="12"/>
        <v>0</v>
      </c>
      <c r="F814">
        <v>8520.0259999999998</v>
      </c>
      <c r="G814" t="s">
        <v>9</v>
      </c>
      <c r="H814" t="s">
        <v>11</v>
      </c>
      <c r="I814" t="s">
        <v>7</v>
      </c>
      <c r="J814">
        <f>_xlfn.XLOOKUP(C814,dim_BMI!$C$2:$C$7,dim_BMI!$A$2:$A$7,,1)</f>
        <v>4</v>
      </c>
      <c r="K814" t="str">
        <f>_xlfn.XLOOKUP(C814,dim_BMI!$C$2:$C$7,dim_BMI!$B$2:$B$7,,1)</f>
        <v>30.0 to 34.9 (Obesity Class 1)</v>
      </c>
    </row>
    <row r="815" spans="1:11" x14ac:dyDescent="0.25">
      <c r="A815" s="1">
        <v>269</v>
      </c>
      <c r="B815">
        <v>45</v>
      </c>
      <c r="C815">
        <v>30.2</v>
      </c>
      <c r="D815">
        <v>1</v>
      </c>
      <c r="E815">
        <f t="shared" si="12"/>
        <v>0</v>
      </c>
      <c r="F815">
        <v>7441.0529999999999</v>
      </c>
      <c r="G815" t="s">
        <v>9</v>
      </c>
      <c r="H815" t="s">
        <v>11</v>
      </c>
      <c r="I815" t="s">
        <v>10</v>
      </c>
      <c r="J815">
        <f>_xlfn.XLOOKUP(C815,dim_BMI!$C$2:$C$7,dim_BMI!$A$2:$A$7,,1)</f>
        <v>4</v>
      </c>
      <c r="K815" t="str">
        <f>_xlfn.XLOOKUP(C815,dim_BMI!$C$2:$C$7,dim_BMI!$B$2:$B$7,,1)</f>
        <v>30.0 to 34.9 (Obesity Class 1)</v>
      </c>
    </row>
    <row r="816" spans="1:11" x14ac:dyDescent="0.25">
      <c r="A816" s="1">
        <v>328</v>
      </c>
      <c r="B816">
        <v>45</v>
      </c>
      <c r="C816">
        <v>36.479999999999997</v>
      </c>
      <c r="D816">
        <v>2</v>
      </c>
      <c r="E816">
        <f t="shared" si="12"/>
        <v>1</v>
      </c>
      <c r="F816">
        <v>42760.502200000003</v>
      </c>
      <c r="G816" t="s">
        <v>13</v>
      </c>
      <c r="H816" t="s">
        <v>8</v>
      </c>
      <c r="I816" t="s">
        <v>10</v>
      </c>
      <c r="J816">
        <f>_xlfn.XLOOKUP(C816,dim_BMI!$C$2:$C$7,dim_BMI!$A$2:$A$7,,1)</f>
        <v>5</v>
      </c>
      <c r="K816" t="str">
        <f>_xlfn.XLOOKUP(C816,dim_BMI!$C$2:$C$7,dim_BMI!$B$2:$B$7,,1)</f>
        <v>35 to 39.9 (Obesity Class 2)</v>
      </c>
    </row>
    <row r="817" spans="1:11" x14ac:dyDescent="0.25">
      <c r="A817" s="1">
        <v>426</v>
      </c>
      <c r="B817">
        <v>45</v>
      </c>
      <c r="C817">
        <v>24.31</v>
      </c>
      <c r="D817">
        <v>5</v>
      </c>
      <c r="E817">
        <f t="shared" si="12"/>
        <v>0</v>
      </c>
      <c r="F817">
        <v>9788.8659000000007</v>
      </c>
      <c r="G817" t="s">
        <v>12</v>
      </c>
      <c r="H817" t="s">
        <v>11</v>
      </c>
      <c r="I817" t="s">
        <v>10</v>
      </c>
      <c r="J817">
        <f>_xlfn.XLOOKUP(C817,dim_BMI!$C$2:$C$7,dim_BMI!$A$2:$A$7,,1)</f>
        <v>2</v>
      </c>
      <c r="K817" t="str">
        <f>_xlfn.XLOOKUP(C817,dim_BMI!$C$2:$C$7,dim_BMI!$B$2:$B$7,,1)</f>
        <v>18.5 to 24.9 (Healthy Weight)</v>
      </c>
    </row>
    <row r="818" spans="1:11" x14ac:dyDescent="0.25">
      <c r="A818" s="1">
        <v>446</v>
      </c>
      <c r="B818">
        <v>45</v>
      </c>
      <c r="C818">
        <v>33.1</v>
      </c>
      <c r="D818">
        <v>0</v>
      </c>
      <c r="E818">
        <f t="shared" si="12"/>
        <v>0</v>
      </c>
      <c r="F818">
        <v>7345.0839999999998</v>
      </c>
      <c r="G818" t="s">
        <v>9</v>
      </c>
      <c r="H818" t="s">
        <v>11</v>
      </c>
      <c r="I818" t="s">
        <v>7</v>
      </c>
      <c r="J818">
        <f>_xlfn.XLOOKUP(C818,dim_BMI!$C$2:$C$7,dim_BMI!$A$2:$A$7,,1)</f>
        <v>4</v>
      </c>
      <c r="K818" t="str">
        <f>_xlfn.XLOOKUP(C818,dim_BMI!$C$2:$C$7,dim_BMI!$B$2:$B$7,,1)</f>
        <v>30.0 to 34.9 (Obesity Class 1)</v>
      </c>
    </row>
    <row r="819" spans="1:11" x14ac:dyDescent="0.25">
      <c r="A819" s="1">
        <v>498</v>
      </c>
      <c r="B819">
        <v>45</v>
      </c>
      <c r="C819">
        <v>28.7</v>
      </c>
      <c r="D819">
        <v>2</v>
      </c>
      <c r="E819">
        <f t="shared" si="12"/>
        <v>0</v>
      </c>
      <c r="F819">
        <v>8027.9679999999998</v>
      </c>
      <c r="G819" t="s">
        <v>9</v>
      </c>
      <c r="H819" t="s">
        <v>11</v>
      </c>
      <c r="I819" t="s">
        <v>10</v>
      </c>
      <c r="J819">
        <f>_xlfn.XLOOKUP(C819,dim_BMI!$C$2:$C$7,dim_BMI!$A$2:$A$7,,1)</f>
        <v>3</v>
      </c>
      <c r="K819" t="str">
        <f>_xlfn.XLOOKUP(C819,dim_BMI!$C$2:$C$7,dim_BMI!$B$2:$B$7,,1)</f>
        <v>25.0 to 29.9 (Overweight)</v>
      </c>
    </row>
    <row r="820" spans="1:11" x14ac:dyDescent="0.25">
      <c r="A820" s="1">
        <v>518</v>
      </c>
      <c r="B820">
        <v>45</v>
      </c>
      <c r="C820">
        <v>30.495000000000001</v>
      </c>
      <c r="D820">
        <v>2</v>
      </c>
      <c r="E820">
        <f t="shared" si="12"/>
        <v>0</v>
      </c>
      <c r="F820">
        <v>8413.4630500000003</v>
      </c>
      <c r="G820" t="s">
        <v>13</v>
      </c>
      <c r="H820" t="s">
        <v>11</v>
      </c>
      <c r="I820" t="s">
        <v>10</v>
      </c>
      <c r="J820">
        <f>_xlfn.XLOOKUP(C820,dim_BMI!$C$2:$C$7,dim_BMI!$A$2:$A$7,,1)</f>
        <v>4</v>
      </c>
      <c r="K820" t="str">
        <f>_xlfn.XLOOKUP(C820,dim_BMI!$C$2:$C$7,dim_BMI!$B$2:$B$7,,1)</f>
        <v>30.0 to 34.9 (Obesity Class 1)</v>
      </c>
    </row>
    <row r="821" spans="1:11" x14ac:dyDescent="0.25">
      <c r="A821" s="1">
        <v>654</v>
      </c>
      <c r="B821">
        <v>45</v>
      </c>
      <c r="C821">
        <v>36.299999999999997</v>
      </c>
      <c r="D821">
        <v>2</v>
      </c>
      <c r="E821">
        <f t="shared" si="12"/>
        <v>0</v>
      </c>
      <c r="F821">
        <v>8527.5319999999992</v>
      </c>
      <c r="G821" t="s">
        <v>12</v>
      </c>
      <c r="H821" t="s">
        <v>11</v>
      </c>
      <c r="I821" t="s">
        <v>7</v>
      </c>
      <c r="J821">
        <f>_xlfn.XLOOKUP(C821,dim_BMI!$C$2:$C$7,dim_BMI!$A$2:$A$7,,1)</f>
        <v>5</v>
      </c>
      <c r="K821" t="str">
        <f>_xlfn.XLOOKUP(C821,dim_BMI!$C$2:$C$7,dim_BMI!$B$2:$B$7,,1)</f>
        <v>35 to 39.9 (Obesity Class 2)</v>
      </c>
    </row>
    <row r="822" spans="1:11" x14ac:dyDescent="0.25">
      <c r="A822" s="1">
        <v>676</v>
      </c>
      <c r="B822">
        <v>45</v>
      </c>
      <c r="C822">
        <v>21.375</v>
      </c>
      <c r="D822">
        <v>0</v>
      </c>
      <c r="E822">
        <f t="shared" si="12"/>
        <v>0</v>
      </c>
      <c r="F822">
        <v>7222.7862500000001</v>
      </c>
      <c r="G822" t="s">
        <v>13</v>
      </c>
      <c r="H822" t="s">
        <v>11</v>
      </c>
      <c r="I822" t="s">
        <v>10</v>
      </c>
      <c r="J822">
        <f>_xlfn.XLOOKUP(C822,dim_BMI!$C$2:$C$7,dim_BMI!$A$2:$A$7,,1)</f>
        <v>2</v>
      </c>
      <c r="K822" t="str">
        <f>_xlfn.XLOOKUP(C822,dim_BMI!$C$2:$C$7,dim_BMI!$B$2:$B$7,,1)</f>
        <v>18.5 to 24.9 (Healthy Weight)</v>
      </c>
    </row>
    <row r="823" spans="1:11" x14ac:dyDescent="0.25">
      <c r="A823" s="1">
        <v>741</v>
      </c>
      <c r="B823">
        <v>45</v>
      </c>
      <c r="C823">
        <v>24.035</v>
      </c>
      <c r="D823">
        <v>2</v>
      </c>
      <c r="E823">
        <f t="shared" si="12"/>
        <v>0</v>
      </c>
      <c r="F823">
        <v>8604.4836500000001</v>
      </c>
      <c r="G823" t="s">
        <v>14</v>
      </c>
      <c r="H823" t="s">
        <v>11</v>
      </c>
      <c r="I823" t="s">
        <v>10</v>
      </c>
      <c r="J823">
        <f>_xlfn.XLOOKUP(C823,dim_BMI!$C$2:$C$7,dim_BMI!$A$2:$A$7,,1)</f>
        <v>2</v>
      </c>
      <c r="K823" t="str">
        <f>_xlfn.XLOOKUP(C823,dim_BMI!$C$2:$C$7,dim_BMI!$B$2:$B$7,,1)</f>
        <v>18.5 to 24.9 (Healthy Weight)</v>
      </c>
    </row>
    <row r="824" spans="1:11" x14ac:dyDescent="0.25">
      <c r="A824" s="1">
        <v>765</v>
      </c>
      <c r="B824">
        <v>45</v>
      </c>
      <c r="C824">
        <v>25.175000000000001</v>
      </c>
      <c r="D824">
        <v>2</v>
      </c>
      <c r="E824">
        <f t="shared" si="12"/>
        <v>0</v>
      </c>
      <c r="F824">
        <v>9095.0682500000003</v>
      </c>
      <c r="G824" t="s">
        <v>14</v>
      </c>
      <c r="H824" t="s">
        <v>11</v>
      </c>
      <c r="I824" t="s">
        <v>7</v>
      </c>
      <c r="J824">
        <f>_xlfn.XLOOKUP(C824,dim_BMI!$C$2:$C$7,dim_BMI!$A$2:$A$7,,1)</f>
        <v>3</v>
      </c>
      <c r="K824" t="str">
        <f>_xlfn.XLOOKUP(C824,dim_BMI!$C$2:$C$7,dim_BMI!$B$2:$B$7,,1)</f>
        <v>25.0 to 29.9 (Overweight)</v>
      </c>
    </row>
    <row r="825" spans="1:11" x14ac:dyDescent="0.25">
      <c r="A825" s="1">
        <v>778</v>
      </c>
      <c r="B825">
        <v>45</v>
      </c>
      <c r="C825">
        <v>39.805</v>
      </c>
      <c r="D825">
        <v>0</v>
      </c>
      <c r="E825">
        <f t="shared" si="12"/>
        <v>0</v>
      </c>
      <c r="F825">
        <v>7448.4039499999999</v>
      </c>
      <c r="G825" t="s">
        <v>14</v>
      </c>
      <c r="H825" t="s">
        <v>11</v>
      </c>
      <c r="I825" t="s">
        <v>10</v>
      </c>
      <c r="J825">
        <f>_xlfn.XLOOKUP(C825,dim_BMI!$C$2:$C$7,dim_BMI!$A$2:$A$7,,1)</f>
        <v>5</v>
      </c>
      <c r="K825" t="str">
        <f>_xlfn.XLOOKUP(C825,dim_BMI!$C$2:$C$7,dim_BMI!$B$2:$B$7,,1)</f>
        <v>35 to 39.9 (Obesity Class 2)</v>
      </c>
    </row>
    <row r="826" spans="1:11" x14ac:dyDescent="0.25">
      <c r="A826" s="1">
        <v>806</v>
      </c>
      <c r="B826">
        <v>45</v>
      </c>
      <c r="C826">
        <v>35.814999999999998</v>
      </c>
      <c r="D826">
        <v>0</v>
      </c>
      <c r="E826">
        <f t="shared" si="12"/>
        <v>0</v>
      </c>
      <c r="F826">
        <v>7731.8578500000003</v>
      </c>
      <c r="G826" t="s">
        <v>13</v>
      </c>
      <c r="H826" t="s">
        <v>11</v>
      </c>
      <c r="I826" t="s">
        <v>7</v>
      </c>
      <c r="J826">
        <f>_xlfn.XLOOKUP(C826,dim_BMI!$C$2:$C$7,dim_BMI!$A$2:$A$7,,1)</f>
        <v>5</v>
      </c>
      <c r="K826" t="str">
        <f>_xlfn.XLOOKUP(C826,dim_BMI!$C$2:$C$7,dim_BMI!$B$2:$B$7,,1)</f>
        <v>35 to 39.9 (Obesity Class 2)</v>
      </c>
    </row>
    <row r="827" spans="1:11" x14ac:dyDescent="0.25">
      <c r="A827" s="1">
        <v>821</v>
      </c>
      <c r="B827">
        <v>45</v>
      </c>
      <c r="C827">
        <v>33.700000000000003</v>
      </c>
      <c r="D827">
        <v>1</v>
      </c>
      <c r="E827">
        <f t="shared" si="12"/>
        <v>0</v>
      </c>
      <c r="F827">
        <v>7445.9179999999997</v>
      </c>
      <c r="G827" t="s">
        <v>9</v>
      </c>
      <c r="H827" t="s">
        <v>11</v>
      </c>
      <c r="I827" t="s">
        <v>10</v>
      </c>
      <c r="J827">
        <f>_xlfn.XLOOKUP(C827,dim_BMI!$C$2:$C$7,dim_BMI!$A$2:$A$7,,1)</f>
        <v>4</v>
      </c>
      <c r="K827" t="str">
        <f>_xlfn.XLOOKUP(C827,dim_BMI!$C$2:$C$7,dim_BMI!$B$2:$B$7,,1)</f>
        <v>30.0 to 34.9 (Obesity Class 1)</v>
      </c>
    </row>
    <row r="828" spans="1:11" x14ac:dyDescent="0.25">
      <c r="A828" s="1">
        <v>918</v>
      </c>
      <c r="B828">
        <v>45</v>
      </c>
      <c r="C828">
        <v>22.895</v>
      </c>
      <c r="D828">
        <v>0</v>
      </c>
      <c r="E828">
        <f t="shared" si="12"/>
        <v>1</v>
      </c>
      <c r="F828">
        <v>35069.374519999998</v>
      </c>
      <c r="G828" t="s">
        <v>14</v>
      </c>
      <c r="H828" t="s">
        <v>8</v>
      </c>
      <c r="I828" t="s">
        <v>10</v>
      </c>
      <c r="J828">
        <f>_xlfn.XLOOKUP(C828,dim_BMI!$C$2:$C$7,dim_BMI!$A$2:$A$7,,1)</f>
        <v>2</v>
      </c>
      <c r="K828" t="str">
        <f>_xlfn.XLOOKUP(C828,dim_BMI!$C$2:$C$7,dim_BMI!$B$2:$B$7,,1)</f>
        <v>18.5 to 24.9 (Healthy Weight)</v>
      </c>
    </row>
    <row r="829" spans="1:11" x14ac:dyDescent="0.25">
      <c r="A829" s="1">
        <v>934</v>
      </c>
      <c r="B829">
        <v>45</v>
      </c>
      <c r="C829">
        <v>35.299999999999997</v>
      </c>
      <c r="D829">
        <v>0</v>
      </c>
      <c r="E829">
        <f t="shared" si="12"/>
        <v>0</v>
      </c>
      <c r="F829">
        <v>7348.1419999999998</v>
      </c>
      <c r="G829" t="s">
        <v>9</v>
      </c>
      <c r="H829" t="s">
        <v>11</v>
      </c>
      <c r="I829" t="s">
        <v>7</v>
      </c>
      <c r="J829">
        <f>_xlfn.XLOOKUP(C829,dim_BMI!$C$2:$C$7,dim_BMI!$A$2:$A$7,,1)</f>
        <v>5</v>
      </c>
      <c r="K829" t="str">
        <f>_xlfn.XLOOKUP(C829,dim_BMI!$C$2:$C$7,dim_BMI!$B$2:$B$7,,1)</f>
        <v>35 to 39.9 (Obesity Class 2)</v>
      </c>
    </row>
    <row r="830" spans="1:11" x14ac:dyDescent="0.25">
      <c r="A830" s="1">
        <v>979</v>
      </c>
      <c r="B830">
        <v>45</v>
      </c>
      <c r="C830">
        <v>39.994999999999997</v>
      </c>
      <c r="D830">
        <v>3</v>
      </c>
      <c r="E830">
        <f t="shared" si="12"/>
        <v>0</v>
      </c>
      <c r="F830">
        <v>9704.6680500000002</v>
      </c>
      <c r="G830" t="s">
        <v>14</v>
      </c>
      <c r="H830" t="s">
        <v>11</v>
      </c>
      <c r="I830" t="s">
        <v>7</v>
      </c>
      <c r="J830">
        <f>_xlfn.XLOOKUP(C830,dim_BMI!$C$2:$C$7,dim_BMI!$A$2:$A$7,,1)</f>
        <v>6</v>
      </c>
      <c r="K830" t="str">
        <f>_xlfn.XLOOKUP(C830,dim_BMI!$C$2:$C$7,dim_BMI!$B$2:$B$7,,1)</f>
        <v>40 or higher (Severe Obesity Class 3)</v>
      </c>
    </row>
    <row r="831" spans="1:11" x14ac:dyDescent="0.25">
      <c r="A831" s="1">
        <v>988</v>
      </c>
      <c r="B831">
        <v>45</v>
      </c>
      <c r="C831">
        <v>27.645</v>
      </c>
      <c r="D831">
        <v>1</v>
      </c>
      <c r="E831">
        <f t="shared" si="12"/>
        <v>0</v>
      </c>
      <c r="F831">
        <v>28340.188849999999</v>
      </c>
      <c r="G831" t="s">
        <v>13</v>
      </c>
      <c r="H831" t="s">
        <v>11</v>
      </c>
      <c r="I831" t="s">
        <v>7</v>
      </c>
      <c r="J831">
        <f>_xlfn.XLOOKUP(C831,dim_BMI!$C$2:$C$7,dim_BMI!$A$2:$A$7,,1)</f>
        <v>3</v>
      </c>
      <c r="K831" t="str">
        <f>_xlfn.XLOOKUP(C831,dim_BMI!$C$2:$C$7,dim_BMI!$B$2:$B$7,,1)</f>
        <v>25.0 to 29.9 (Overweight)</v>
      </c>
    </row>
    <row r="832" spans="1:11" x14ac:dyDescent="0.25">
      <c r="A832" s="1">
        <v>1038</v>
      </c>
      <c r="B832">
        <v>45</v>
      </c>
      <c r="C832">
        <v>30.495000000000001</v>
      </c>
      <c r="D832">
        <v>1</v>
      </c>
      <c r="E832">
        <f t="shared" si="12"/>
        <v>1</v>
      </c>
      <c r="F832">
        <v>39725.518049999999</v>
      </c>
      <c r="G832" t="s">
        <v>13</v>
      </c>
      <c r="H832" t="s">
        <v>8</v>
      </c>
      <c r="I832" t="s">
        <v>7</v>
      </c>
      <c r="J832">
        <f>_xlfn.XLOOKUP(C832,dim_BMI!$C$2:$C$7,dim_BMI!$A$2:$A$7,,1)</f>
        <v>4</v>
      </c>
      <c r="K832" t="str">
        <f>_xlfn.XLOOKUP(C832,dim_BMI!$C$2:$C$7,dim_BMI!$B$2:$B$7,,1)</f>
        <v>30.0 to 34.9 (Obesity Class 1)</v>
      </c>
    </row>
    <row r="833" spans="1:11" x14ac:dyDescent="0.25">
      <c r="A833" s="1">
        <v>1058</v>
      </c>
      <c r="B833">
        <v>45</v>
      </c>
      <c r="C833">
        <v>31.79</v>
      </c>
      <c r="D833">
        <v>0</v>
      </c>
      <c r="E833">
        <f t="shared" si="12"/>
        <v>0</v>
      </c>
      <c r="F833">
        <v>17929.303370000001</v>
      </c>
      <c r="G833" t="s">
        <v>12</v>
      </c>
      <c r="H833" t="s">
        <v>11</v>
      </c>
      <c r="I833" t="s">
        <v>7</v>
      </c>
      <c r="J833">
        <f>_xlfn.XLOOKUP(C833,dim_BMI!$C$2:$C$7,dim_BMI!$A$2:$A$7,,1)</f>
        <v>4</v>
      </c>
      <c r="K833" t="str">
        <f>_xlfn.XLOOKUP(C833,dim_BMI!$C$2:$C$7,dim_BMI!$B$2:$B$7,,1)</f>
        <v>30.0 to 34.9 (Obesity Class 1)</v>
      </c>
    </row>
    <row r="834" spans="1:11" x14ac:dyDescent="0.25">
      <c r="A834" s="1">
        <v>1110</v>
      </c>
      <c r="B834">
        <v>45</v>
      </c>
      <c r="C834">
        <v>20.350000000000001</v>
      </c>
      <c r="D834">
        <v>3</v>
      </c>
      <c r="E834">
        <f t="shared" si="12"/>
        <v>0</v>
      </c>
      <c r="F834">
        <v>8605.3615000000009</v>
      </c>
      <c r="G834" t="s">
        <v>12</v>
      </c>
      <c r="H834" t="s">
        <v>11</v>
      </c>
      <c r="I834" t="s">
        <v>10</v>
      </c>
      <c r="J834">
        <f>_xlfn.XLOOKUP(C834,dim_BMI!$C$2:$C$7,dim_BMI!$A$2:$A$7,,1)</f>
        <v>2</v>
      </c>
      <c r="K834" t="str">
        <f>_xlfn.XLOOKUP(C834,dim_BMI!$C$2:$C$7,dim_BMI!$B$2:$B$7,,1)</f>
        <v>18.5 to 24.9 (Healthy Weight)</v>
      </c>
    </row>
    <row r="835" spans="1:11" x14ac:dyDescent="0.25">
      <c r="A835" s="1">
        <v>1186</v>
      </c>
      <c r="B835">
        <v>45</v>
      </c>
      <c r="C835">
        <v>23.56</v>
      </c>
      <c r="D835">
        <v>2</v>
      </c>
      <c r="E835">
        <f t="shared" ref="E835:E898" si="13">IF(H835="yes",1,0)</f>
        <v>0</v>
      </c>
      <c r="F835">
        <v>8603.8233999999993</v>
      </c>
      <c r="G835" t="s">
        <v>14</v>
      </c>
      <c r="H835" t="s">
        <v>11</v>
      </c>
      <c r="I835" t="s">
        <v>10</v>
      </c>
      <c r="J835">
        <f>_xlfn.XLOOKUP(C835,dim_BMI!$C$2:$C$7,dim_BMI!$A$2:$A$7,,1)</f>
        <v>2</v>
      </c>
      <c r="K835" t="str">
        <f>_xlfn.XLOOKUP(C835,dim_BMI!$C$2:$C$7,dim_BMI!$B$2:$B$7,,1)</f>
        <v>18.5 to 24.9 (Healthy Weight)</v>
      </c>
    </row>
    <row r="836" spans="1:11" x14ac:dyDescent="0.25">
      <c r="A836" s="1">
        <v>1235</v>
      </c>
      <c r="B836">
        <v>45</v>
      </c>
      <c r="C836">
        <v>27.83</v>
      </c>
      <c r="D836">
        <v>2</v>
      </c>
      <c r="E836">
        <f t="shared" si="13"/>
        <v>0</v>
      </c>
      <c r="F836">
        <v>8515.7587000000003</v>
      </c>
      <c r="G836" t="s">
        <v>12</v>
      </c>
      <c r="H836" t="s">
        <v>11</v>
      </c>
      <c r="I836" t="s">
        <v>7</v>
      </c>
      <c r="J836">
        <f>_xlfn.XLOOKUP(C836,dim_BMI!$C$2:$C$7,dim_BMI!$A$2:$A$7,,1)</f>
        <v>3</v>
      </c>
      <c r="K836" t="str">
        <f>_xlfn.XLOOKUP(C836,dim_BMI!$C$2:$C$7,dim_BMI!$B$2:$B$7,,1)</f>
        <v>25.0 to 29.9 (Overweight)</v>
      </c>
    </row>
    <row r="837" spans="1:11" x14ac:dyDescent="0.25">
      <c r="A837" s="1">
        <v>1247</v>
      </c>
      <c r="B837">
        <v>45</v>
      </c>
      <c r="C837">
        <v>25.7</v>
      </c>
      <c r="D837">
        <v>3</v>
      </c>
      <c r="E837">
        <f t="shared" si="13"/>
        <v>0</v>
      </c>
      <c r="F837">
        <v>9101.7980000000007</v>
      </c>
      <c r="G837" t="s">
        <v>9</v>
      </c>
      <c r="H837" t="s">
        <v>11</v>
      </c>
      <c r="I837" t="s">
        <v>7</v>
      </c>
      <c r="J837">
        <f>_xlfn.XLOOKUP(C837,dim_BMI!$C$2:$C$7,dim_BMI!$A$2:$A$7,,1)</f>
        <v>3</v>
      </c>
      <c r="K837" t="str">
        <f>_xlfn.XLOOKUP(C837,dim_BMI!$C$2:$C$7,dim_BMI!$B$2:$B$7,,1)</f>
        <v>25.0 to 29.9 (Overweight)</v>
      </c>
    </row>
    <row r="838" spans="1:11" x14ac:dyDescent="0.25">
      <c r="A838" s="1">
        <v>1270</v>
      </c>
      <c r="B838">
        <v>45</v>
      </c>
      <c r="C838">
        <v>27.5</v>
      </c>
      <c r="D838">
        <v>3</v>
      </c>
      <c r="E838">
        <f t="shared" si="13"/>
        <v>0</v>
      </c>
      <c r="F838">
        <v>8615.2999999999993</v>
      </c>
      <c r="G838" t="s">
        <v>9</v>
      </c>
      <c r="H838" t="s">
        <v>11</v>
      </c>
      <c r="I838" t="s">
        <v>10</v>
      </c>
      <c r="J838">
        <f>_xlfn.XLOOKUP(C838,dim_BMI!$C$2:$C$7,dim_BMI!$A$2:$A$7,,1)</f>
        <v>3</v>
      </c>
      <c r="K838" t="str">
        <f>_xlfn.XLOOKUP(C838,dim_BMI!$C$2:$C$7,dim_BMI!$B$2:$B$7,,1)</f>
        <v>25.0 to 29.9 (Overweight)</v>
      </c>
    </row>
    <row r="839" spans="1:11" x14ac:dyDescent="0.25">
      <c r="A839" s="1">
        <v>1301</v>
      </c>
      <c r="B839">
        <v>45</v>
      </c>
      <c r="C839">
        <v>30.36</v>
      </c>
      <c r="D839">
        <v>0</v>
      </c>
      <c r="E839">
        <f t="shared" si="13"/>
        <v>1</v>
      </c>
      <c r="F839">
        <v>62592.873090000001</v>
      </c>
      <c r="G839" t="s">
        <v>12</v>
      </c>
      <c r="H839" t="s">
        <v>8</v>
      </c>
      <c r="I839" t="s">
        <v>10</v>
      </c>
      <c r="J839">
        <f>_xlfn.XLOOKUP(C839,dim_BMI!$C$2:$C$7,dim_BMI!$A$2:$A$7,,1)</f>
        <v>4</v>
      </c>
      <c r="K839" t="str">
        <f>_xlfn.XLOOKUP(C839,dim_BMI!$C$2:$C$7,dim_BMI!$B$2:$B$7,,1)</f>
        <v>30.0 to 34.9 (Obesity Class 1)</v>
      </c>
    </row>
    <row r="840" spans="1:11" x14ac:dyDescent="0.25">
      <c r="A840" s="1">
        <v>7</v>
      </c>
      <c r="B840">
        <v>46</v>
      </c>
      <c r="C840">
        <v>33.44</v>
      </c>
      <c r="D840">
        <v>1</v>
      </c>
      <c r="E840">
        <f t="shared" si="13"/>
        <v>0</v>
      </c>
      <c r="F840">
        <v>8240.5895999999993</v>
      </c>
      <c r="G840" t="s">
        <v>12</v>
      </c>
      <c r="H840" t="s">
        <v>11</v>
      </c>
      <c r="I840" t="s">
        <v>7</v>
      </c>
      <c r="J840">
        <f>_xlfn.XLOOKUP(C840,dim_BMI!$C$2:$C$7,dim_BMI!$A$2:$A$7,,1)</f>
        <v>4</v>
      </c>
      <c r="K840" t="str">
        <f>_xlfn.XLOOKUP(C840,dim_BMI!$C$2:$C$7,dim_BMI!$B$2:$B$7,,1)</f>
        <v>30.0 to 34.9 (Obesity Class 1)</v>
      </c>
    </row>
    <row r="841" spans="1:11" x14ac:dyDescent="0.25">
      <c r="A841" s="1">
        <v>89</v>
      </c>
      <c r="B841">
        <v>46</v>
      </c>
      <c r="C841">
        <v>27.74</v>
      </c>
      <c r="D841">
        <v>0</v>
      </c>
      <c r="E841">
        <f t="shared" si="13"/>
        <v>0</v>
      </c>
      <c r="F841">
        <v>8026.6665999999996</v>
      </c>
      <c r="G841" t="s">
        <v>13</v>
      </c>
      <c r="H841" t="s">
        <v>11</v>
      </c>
      <c r="I841" t="s">
        <v>7</v>
      </c>
      <c r="J841">
        <f>_xlfn.XLOOKUP(C841,dim_BMI!$C$2:$C$7,dim_BMI!$A$2:$A$7,,1)</f>
        <v>3</v>
      </c>
      <c r="K841" t="str">
        <f>_xlfn.XLOOKUP(C841,dim_BMI!$C$2:$C$7,dim_BMI!$B$2:$B$7,,1)</f>
        <v>25.0 to 29.9 (Overweight)</v>
      </c>
    </row>
    <row r="842" spans="1:11" x14ac:dyDescent="0.25">
      <c r="A842" s="1">
        <v>147</v>
      </c>
      <c r="B842">
        <v>46</v>
      </c>
      <c r="C842">
        <v>30.495000000000001</v>
      </c>
      <c r="D842">
        <v>3</v>
      </c>
      <c r="E842">
        <f t="shared" si="13"/>
        <v>1</v>
      </c>
      <c r="F842">
        <v>40720.551050000002</v>
      </c>
      <c r="G842" t="s">
        <v>13</v>
      </c>
      <c r="H842" t="s">
        <v>8</v>
      </c>
      <c r="I842" t="s">
        <v>10</v>
      </c>
      <c r="J842">
        <f>_xlfn.XLOOKUP(C842,dim_BMI!$C$2:$C$7,dim_BMI!$A$2:$A$7,,1)</f>
        <v>4</v>
      </c>
      <c r="K842" t="str">
        <f>_xlfn.XLOOKUP(C842,dim_BMI!$C$2:$C$7,dim_BMI!$B$2:$B$7,,1)</f>
        <v>30.0 to 34.9 (Obesity Class 1)</v>
      </c>
    </row>
    <row r="843" spans="1:11" x14ac:dyDescent="0.25">
      <c r="A843" s="1">
        <v>179</v>
      </c>
      <c r="B843">
        <v>46</v>
      </c>
      <c r="C843">
        <v>28.9</v>
      </c>
      <c r="D843">
        <v>2</v>
      </c>
      <c r="E843">
        <f t="shared" si="13"/>
        <v>0</v>
      </c>
      <c r="F843">
        <v>8823.2790000000005</v>
      </c>
      <c r="G843" t="s">
        <v>9</v>
      </c>
      <c r="H843" t="s">
        <v>11</v>
      </c>
      <c r="I843" t="s">
        <v>7</v>
      </c>
      <c r="J843">
        <f>_xlfn.XLOOKUP(C843,dim_BMI!$C$2:$C$7,dim_BMI!$A$2:$A$7,,1)</f>
        <v>3</v>
      </c>
      <c r="K843" t="str">
        <f>_xlfn.XLOOKUP(C843,dim_BMI!$C$2:$C$7,dim_BMI!$B$2:$B$7,,1)</f>
        <v>25.0 to 29.9 (Overweight)</v>
      </c>
    </row>
    <row r="844" spans="1:11" x14ac:dyDescent="0.25">
      <c r="A844" s="1">
        <v>205</v>
      </c>
      <c r="B844">
        <v>46</v>
      </c>
      <c r="C844">
        <v>22.3</v>
      </c>
      <c r="D844">
        <v>0</v>
      </c>
      <c r="E844">
        <f t="shared" si="13"/>
        <v>0</v>
      </c>
      <c r="F844">
        <v>7147.1049999999996</v>
      </c>
      <c r="G844" t="s">
        <v>9</v>
      </c>
      <c r="H844" t="s">
        <v>11</v>
      </c>
      <c r="I844" t="s">
        <v>10</v>
      </c>
      <c r="J844">
        <f>_xlfn.XLOOKUP(C844,dim_BMI!$C$2:$C$7,dim_BMI!$A$2:$A$7,,1)</f>
        <v>2</v>
      </c>
      <c r="K844" t="str">
        <f>_xlfn.XLOOKUP(C844,dim_BMI!$C$2:$C$7,dim_BMI!$B$2:$B$7,,1)</f>
        <v>18.5 to 24.9 (Healthy Weight)</v>
      </c>
    </row>
    <row r="845" spans="1:11" x14ac:dyDescent="0.25">
      <c r="A845" s="1">
        <v>266</v>
      </c>
      <c r="B845">
        <v>46</v>
      </c>
      <c r="C845">
        <v>42.35</v>
      </c>
      <c r="D845">
        <v>3</v>
      </c>
      <c r="E845">
        <f t="shared" si="13"/>
        <v>1</v>
      </c>
      <c r="F845">
        <v>46151.124499999998</v>
      </c>
      <c r="G845" t="s">
        <v>12</v>
      </c>
      <c r="H845" t="s">
        <v>8</v>
      </c>
      <c r="I845" t="s">
        <v>10</v>
      </c>
      <c r="J845">
        <f>_xlfn.XLOOKUP(C845,dim_BMI!$C$2:$C$7,dim_BMI!$A$2:$A$7,,1)</f>
        <v>6</v>
      </c>
      <c r="K845" t="str">
        <f>_xlfn.XLOOKUP(C845,dim_BMI!$C$2:$C$7,dim_BMI!$B$2:$B$7,,1)</f>
        <v>40 or higher (Severe Obesity Class 3)</v>
      </c>
    </row>
    <row r="846" spans="1:11" x14ac:dyDescent="0.25">
      <c r="A846" s="1">
        <v>286</v>
      </c>
      <c r="B846">
        <v>46</v>
      </c>
      <c r="C846">
        <v>26.62</v>
      </c>
      <c r="D846">
        <v>1</v>
      </c>
      <c r="E846">
        <f t="shared" si="13"/>
        <v>0</v>
      </c>
      <c r="F846">
        <v>7742.1098000000002</v>
      </c>
      <c r="G846" t="s">
        <v>12</v>
      </c>
      <c r="H846" t="s">
        <v>11</v>
      </c>
      <c r="I846" t="s">
        <v>10</v>
      </c>
      <c r="J846">
        <f>_xlfn.XLOOKUP(C846,dim_BMI!$C$2:$C$7,dim_BMI!$A$2:$A$7,,1)</f>
        <v>3</v>
      </c>
      <c r="K846" t="str">
        <f>_xlfn.XLOOKUP(C846,dim_BMI!$C$2:$C$7,dim_BMI!$B$2:$B$7,,1)</f>
        <v>25.0 to 29.9 (Overweight)</v>
      </c>
    </row>
    <row r="847" spans="1:11" x14ac:dyDescent="0.25">
      <c r="A847" s="1">
        <v>287</v>
      </c>
      <c r="B847">
        <v>46</v>
      </c>
      <c r="C847">
        <v>48.07</v>
      </c>
      <c r="D847">
        <v>2</v>
      </c>
      <c r="E847">
        <f t="shared" si="13"/>
        <v>0</v>
      </c>
      <c r="F847">
        <v>9432.9253000000008</v>
      </c>
      <c r="G847" t="s">
        <v>14</v>
      </c>
      <c r="H847" t="s">
        <v>11</v>
      </c>
      <c r="I847" t="s">
        <v>7</v>
      </c>
      <c r="J847">
        <f>_xlfn.XLOOKUP(C847,dim_BMI!$C$2:$C$7,dim_BMI!$A$2:$A$7,,1)</f>
        <v>6</v>
      </c>
      <c r="K847" t="str">
        <f>_xlfn.XLOOKUP(C847,dim_BMI!$C$2:$C$7,dim_BMI!$B$2:$B$7,,1)</f>
        <v>40 or higher (Severe Obesity Class 3)</v>
      </c>
    </row>
    <row r="848" spans="1:11" x14ac:dyDescent="0.25">
      <c r="A848" s="1">
        <v>340</v>
      </c>
      <c r="B848">
        <v>46</v>
      </c>
      <c r="C848">
        <v>27.72</v>
      </c>
      <c r="D848">
        <v>1</v>
      </c>
      <c r="E848">
        <f t="shared" si="13"/>
        <v>0</v>
      </c>
      <c r="F848">
        <v>8232.6388000000006</v>
      </c>
      <c r="G848" t="s">
        <v>12</v>
      </c>
      <c r="H848" t="s">
        <v>11</v>
      </c>
      <c r="I848" t="s">
        <v>7</v>
      </c>
      <c r="J848">
        <f>_xlfn.XLOOKUP(C848,dim_BMI!$C$2:$C$7,dim_BMI!$A$2:$A$7,,1)</f>
        <v>3</v>
      </c>
      <c r="K848" t="str">
        <f>_xlfn.XLOOKUP(C848,dim_BMI!$C$2:$C$7,dim_BMI!$B$2:$B$7,,1)</f>
        <v>25.0 to 29.9 (Overweight)</v>
      </c>
    </row>
    <row r="849" spans="1:11" x14ac:dyDescent="0.25">
      <c r="A849" s="1">
        <v>348</v>
      </c>
      <c r="B849">
        <v>46</v>
      </c>
      <c r="C849">
        <v>33.344999999999999</v>
      </c>
      <c r="D849">
        <v>1</v>
      </c>
      <c r="E849">
        <f t="shared" si="13"/>
        <v>0</v>
      </c>
      <c r="F849">
        <v>8334.4575499999992</v>
      </c>
      <c r="G849" t="s">
        <v>14</v>
      </c>
      <c r="H849" t="s">
        <v>11</v>
      </c>
      <c r="I849" t="s">
        <v>10</v>
      </c>
      <c r="J849">
        <f>_xlfn.XLOOKUP(C849,dim_BMI!$C$2:$C$7,dim_BMI!$A$2:$A$7,,1)</f>
        <v>4</v>
      </c>
      <c r="K849" t="str">
        <f>_xlfn.XLOOKUP(C849,dim_BMI!$C$2:$C$7,dim_BMI!$B$2:$B$7,,1)</f>
        <v>30.0 to 34.9 (Obesity Class 1)</v>
      </c>
    </row>
    <row r="850" spans="1:11" x14ac:dyDescent="0.25">
      <c r="A850" s="1">
        <v>356</v>
      </c>
      <c r="B850">
        <v>46</v>
      </c>
      <c r="C850">
        <v>27.6</v>
      </c>
      <c r="D850">
        <v>0</v>
      </c>
      <c r="E850">
        <f t="shared" si="13"/>
        <v>0</v>
      </c>
      <c r="F850">
        <v>24603.04837</v>
      </c>
      <c r="G850" t="s">
        <v>9</v>
      </c>
      <c r="H850" t="s">
        <v>11</v>
      </c>
      <c r="I850" t="s">
        <v>10</v>
      </c>
      <c r="J850">
        <f>_xlfn.XLOOKUP(C850,dim_BMI!$C$2:$C$7,dim_BMI!$A$2:$A$7,,1)</f>
        <v>3</v>
      </c>
      <c r="K850" t="str">
        <f>_xlfn.XLOOKUP(C850,dim_BMI!$C$2:$C$7,dim_BMI!$B$2:$B$7,,1)</f>
        <v>25.0 to 29.9 (Overweight)</v>
      </c>
    </row>
    <row r="851" spans="1:11" x14ac:dyDescent="0.25">
      <c r="A851" s="1">
        <v>357</v>
      </c>
      <c r="B851">
        <v>46</v>
      </c>
      <c r="C851">
        <v>43.89</v>
      </c>
      <c r="D851">
        <v>3</v>
      </c>
      <c r="E851">
        <f t="shared" si="13"/>
        <v>0</v>
      </c>
      <c r="F851">
        <v>8944.1151000000009</v>
      </c>
      <c r="G851" t="s">
        <v>12</v>
      </c>
      <c r="H851" t="s">
        <v>11</v>
      </c>
      <c r="I851" t="s">
        <v>10</v>
      </c>
      <c r="J851">
        <f>_xlfn.XLOOKUP(C851,dim_BMI!$C$2:$C$7,dim_BMI!$A$2:$A$7,,1)</f>
        <v>6</v>
      </c>
      <c r="K851" t="str">
        <f>_xlfn.XLOOKUP(C851,dim_BMI!$C$2:$C$7,dim_BMI!$B$2:$B$7,,1)</f>
        <v>40 or higher (Severe Obesity Class 3)</v>
      </c>
    </row>
    <row r="852" spans="1:11" x14ac:dyDescent="0.25">
      <c r="A852" s="1">
        <v>395</v>
      </c>
      <c r="B852">
        <v>46</v>
      </c>
      <c r="C852">
        <v>32.299999999999997</v>
      </c>
      <c r="D852">
        <v>2</v>
      </c>
      <c r="E852">
        <f t="shared" si="13"/>
        <v>0</v>
      </c>
      <c r="F852">
        <v>9411.0049999999992</v>
      </c>
      <c r="G852" t="s">
        <v>14</v>
      </c>
      <c r="H852" t="s">
        <v>11</v>
      </c>
      <c r="I852" t="s">
        <v>7</v>
      </c>
      <c r="J852">
        <f>_xlfn.XLOOKUP(C852,dim_BMI!$C$2:$C$7,dim_BMI!$A$2:$A$7,,1)</f>
        <v>4</v>
      </c>
      <c r="K852" t="str">
        <f>_xlfn.XLOOKUP(C852,dim_BMI!$C$2:$C$7,dim_BMI!$B$2:$B$7,,1)</f>
        <v>30.0 to 34.9 (Obesity Class 1)</v>
      </c>
    </row>
    <row r="853" spans="1:11" x14ac:dyDescent="0.25">
      <c r="A853" s="1">
        <v>396</v>
      </c>
      <c r="B853">
        <v>46</v>
      </c>
      <c r="C853">
        <v>19.855</v>
      </c>
      <c r="D853">
        <v>0</v>
      </c>
      <c r="E853">
        <f t="shared" si="13"/>
        <v>0</v>
      </c>
      <c r="F853">
        <v>7526.7064499999997</v>
      </c>
      <c r="G853" t="s">
        <v>13</v>
      </c>
      <c r="H853" t="s">
        <v>11</v>
      </c>
      <c r="I853" t="s">
        <v>10</v>
      </c>
      <c r="J853">
        <f>_xlfn.XLOOKUP(C853,dim_BMI!$C$2:$C$7,dim_BMI!$A$2:$A$7,,1)</f>
        <v>2</v>
      </c>
      <c r="K853" t="str">
        <f>_xlfn.XLOOKUP(C853,dim_BMI!$C$2:$C$7,dim_BMI!$B$2:$B$7,,1)</f>
        <v>18.5 to 24.9 (Healthy Weight)</v>
      </c>
    </row>
    <row r="854" spans="1:11" x14ac:dyDescent="0.25">
      <c r="A854" s="1">
        <v>529</v>
      </c>
      <c r="B854">
        <v>46</v>
      </c>
      <c r="C854">
        <v>39.424999999999997</v>
      </c>
      <c r="D854">
        <v>1</v>
      </c>
      <c r="E854">
        <f t="shared" si="13"/>
        <v>0</v>
      </c>
      <c r="F854">
        <v>8342.9087500000005</v>
      </c>
      <c r="G854" t="s">
        <v>14</v>
      </c>
      <c r="H854" t="s">
        <v>11</v>
      </c>
      <c r="I854" t="s">
        <v>10</v>
      </c>
      <c r="J854">
        <f>_xlfn.XLOOKUP(C854,dim_BMI!$C$2:$C$7,dim_BMI!$A$2:$A$7,,1)</f>
        <v>5</v>
      </c>
      <c r="K854" t="str">
        <f>_xlfn.XLOOKUP(C854,dim_BMI!$C$2:$C$7,dim_BMI!$B$2:$B$7,,1)</f>
        <v>35 to 39.9 (Obesity Class 2)</v>
      </c>
    </row>
    <row r="855" spans="1:11" x14ac:dyDescent="0.25">
      <c r="A855" s="1">
        <v>538</v>
      </c>
      <c r="B855">
        <v>46</v>
      </c>
      <c r="C855">
        <v>30.2</v>
      </c>
      <c r="D855">
        <v>2</v>
      </c>
      <c r="E855">
        <f t="shared" si="13"/>
        <v>0</v>
      </c>
      <c r="F855">
        <v>8825.0859999999993</v>
      </c>
      <c r="G855" t="s">
        <v>9</v>
      </c>
      <c r="H855" t="s">
        <v>11</v>
      </c>
      <c r="I855" t="s">
        <v>7</v>
      </c>
      <c r="J855">
        <f>_xlfn.XLOOKUP(C855,dim_BMI!$C$2:$C$7,dim_BMI!$A$2:$A$7,,1)</f>
        <v>4</v>
      </c>
      <c r="K855" t="str">
        <f>_xlfn.XLOOKUP(C855,dim_BMI!$C$2:$C$7,dim_BMI!$B$2:$B$7,,1)</f>
        <v>30.0 to 34.9 (Obesity Class 1)</v>
      </c>
    </row>
    <row r="856" spans="1:11" x14ac:dyDescent="0.25">
      <c r="A856" s="1">
        <v>539</v>
      </c>
      <c r="B856">
        <v>46</v>
      </c>
      <c r="C856">
        <v>28.05</v>
      </c>
      <c r="D856">
        <v>1</v>
      </c>
      <c r="E856">
        <f t="shared" si="13"/>
        <v>0</v>
      </c>
      <c r="F856">
        <v>8233.0974999999999</v>
      </c>
      <c r="G856" t="s">
        <v>12</v>
      </c>
      <c r="H856" t="s">
        <v>11</v>
      </c>
      <c r="I856" t="s">
        <v>7</v>
      </c>
      <c r="J856">
        <f>_xlfn.XLOOKUP(C856,dim_BMI!$C$2:$C$7,dim_BMI!$A$2:$A$7,,1)</f>
        <v>3</v>
      </c>
      <c r="K856" t="str">
        <f>_xlfn.XLOOKUP(C856,dim_BMI!$C$2:$C$7,dim_BMI!$B$2:$B$7,,1)</f>
        <v>25.0 to 29.9 (Overweight)</v>
      </c>
    </row>
    <row r="857" spans="1:11" x14ac:dyDescent="0.25">
      <c r="A857" s="1">
        <v>557</v>
      </c>
      <c r="B857">
        <v>46</v>
      </c>
      <c r="C857">
        <v>33.44</v>
      </c>
      <c r="D857">
        <v>1</v>
      </c>
      <c r="E857">
        <f t="shared" si="13"/>
        <v>0</v>
      </c>
      <c r="F857">
        <v>8334.5895999999993</v>
      </c>
      <c r="G857" t="s">
        <v>14</v>
      </c>
      <c r="H857" t="s">
        <v>11</v>
      </c>
      <c r="I857" t="s">
        <v>10</v>
      </c>
      <c r="J857">
        <f>_xlfn.XLOOKUP(C857,dim_BMI!$C$2:$C$7,dim_BMI!$A$2:$A$7,,1)</f>
        <v>4</v>
      </c>
      <c r="K857" t="str">
        <f>_xlfn.XLOOKUP(C857,dim_BMI!$C$2:$C$7,dim_BMI!$B$2:$B$7,,1)</f>
        <v>30.0 to 34.9 (Obesity Class 1)</v>
      </c>
    </row>
    <row r="858" spans="1:11" x14ac:dyDescent="0.25">
      <c r="A858" s="1">
        <v>561</v>
      </c>
      <c r="B858">
        <v>46</v>
      </c>
      <c r="C858">
        <v>19.95</v>
      </c>
      <c r="D858">
        <v>2</v>
      </c>
      <c r="E858">
        <f t="shared" si="13"/>
        <v>0</v>
      </c>
      <c r="F858">
        <v>9193.8384999999998</v>
      </c>
      <c r="G858" t="s">
        <v>13</v>
      </c>
      <c r="H858" t="s">
        <v>11</v>
      </c>
      <c r="I858" t="s">
        <v>7</v>
      </c>
      <c r="J858">
        <f>_xlfn.XLOOKUP(C858,dim_BMI!$C$2:$C$7,dim_BMI!$A$2:$A$7,,1)</f>
        <v>2</v>
      </c>
      <c r="K858" t="str">
        <f>_xlfn.XLOOKUP(C858,dim_BMI!$C$2:$C$7,dim_BMI!$B$2:$B$7,,1)</f>
        <v>18.5 to 24.9 (Healthy Weight)</v>
      </c>
    </row>
    <row r="859" spans="1:11" x14ac:dyDescent="0.25">
      <c r="A859" s="1">
        <v>596</v>
      </c>
      <c r="B859">
        <v>46</v>
      </c>
      <c r="C859">
        <v>33.725000000000001</v>
      </c>
      <c r="D859">
        <v>1</v>
      </c>
      <c r="E859">
        <f t="shared" si="13"/>
        <v>0</v>
      </c>
      <c r="F859">
        <v>8823.9857499999998</v>
      </c>
      <c r="G859" t="s">
        <v>14</v>
      </c>
      <c r="H859" t="s">
        <v>11</v>
      </c>
      <c r="I859" t="s">
        <v>7</v>
      </c>
      <c r="J859">
        <f>_xlfn.XLOOKUP(C859,dim_BMI!$C$2:$C$7,dim_BMI!$A$2:$A$7,,1)</f>
        <v>4</v>
      </c>
      <c r="K859" t="str">
        <f>_xlfn.XLOOKUP(C859,dim_BMI!$C$2:$C$7,dim_BMI!$B$2:$B$7,,1)</f>
        <v>30.0 to 34.9 (Obesity Class 1)</v>
      </c>
    </row>
    <row r="860" spans="1:11" x14ac:dyDescent="0.25">
      <c r="A860" s="1">
        <v>811</v>
      </c>
      <c r="B860">
        <v>46</v>
      </c>
      <c r="C860">
        <v>30.8</v>
      </c>
      <c r="D860">
        <v>3</v>
      </c>
      <c r="E860">
        <f t="shared" si="13"/>
        <v>0</v>
      </c>
      <c r="F860">
        <v>9414.92</v>
      </c>
      <c r="G860" t="s">
        <v>9</v>
      </c>
      <c r="H860" t="s">
        <v>11</v>
      </c>
      <c r="I860" t="s">
        <v>7</v>
      </c>
      <c r="J860">
        <f>_xlfn.XLOOKUP(C860,dim_BMI!$C$2:$C$7,dim_BMI!$A$2:$A$7,,1)</f>
        <v>4</v>
      </c>
      <c r="K860" t="str">
        <f>_xlfn.XLOOKUP(C860,dim_BMI!$C$2:$C$7,dim_BMI!$B$2:$B$7,,1)</f>
        <v>30.0 to 34.9 (Obesity Class 1)</v>
      </c>
    </row>
    <row r="861" spans="1:11" x14ac:dyDescent="0.25">
      <c r="A861" s="1">
        <v>853</v>
      </c>
      <c r="B861">
        <v>46</v>
      </c>
      <c r="C861">
        <v>35.53</v>
      </c>
      <c r="D861">
        <v>0</v>
      </c>
      <c r="E861">
        <f t="shared" si="13"/>
        <v>1</v>
      </c>
      <c r="F861">
        <v>42111.664700000001</v>
      </c>
      <c r="G861" t="s">
        <v>14</v>
      </c>
      <c r="H861" t="s">
        <v>8</v>
      </c>
      <c r="I861" t="s">
        <v>7</v>
      </c>
      <c r="J861">
        <f>_xlfn.XLOOKUP(C861,dim_BMI!$C$2:$C$7,dim_BMI!$A$2:$A$7,,1)</f>
        <v>5</v>
      </c>
      <c r="K861" t="str">
        <f>_xlfn.XLOOKUP(C861,dim_BMI!$C$2:$C$7,dim_BMI!$B$2:$B$7,,1)</f>
        <v>35 to 39.9 (Obesity Class 2)</v>
      </c>
    </row>
    <row r="862" spans="1:11" x14ac:dyDescent="0.25">
      <c r="A862" s="1">
        <v>933</v>
      </c>
      <c r="B862">
        <v>46</v>
      </c>
      <c r="C862">
        <v>25.8</v>
      </c>
      <c r="D862">
        <v>5</v>
      </c>
      <c r="E862">
        <f t="shared" si="13"/>
        <v>0</v>
      </c>
      <c r="F862">
        <v>10096.969999999999</v>
      </c>
      <c r="G862" t="s">
        <v>9</v>
      </c>
      <c r="H862" t="s">
        <v>11</v>
      </c>
      <c r="I862" t="s">
        <v>10</v>
      </c>
      <c r="J862">
        <f>_xlfn.XLOOKUP(C862,dim_BMI!$C$2:$C$7,dim_BMI!$A$2:$A$7,,1)</f>
        <v>3</v>
      </c>
      <c r="K862" t="str">
        <f>_xlfn.XLOOKUP(C862,dim_BMI!$C$2:$C$7,dim_BMI!$B$2:$B$7,,1)</f>
        <v>25.0 to 29.9 (Overweight)</v>
      </c>
    </row>
    <row r="863" spans="1:11" x14ac:dyDescent="0.25">
      <c r="A863" s="1">
        <v>964</v>
      </c>
      <c r="B863">
        <v>46</v>
      </c>
      <c r="C863">
        <v>24.795000000000002</v>
      </c>
      <c r="D863">
        <v>3</v>
      </c>
      <c r="E863">
        <f t="shared" si="13"/>
        <v>0</v>
      </c>
      <c r="F863">
        <v>9500.5730500000009</v>
      </c>
      <c r="G863" t="s">
        <v>14</v>
      </c>
      <c r="H863" t="s">
        <v>11</v>
      </c>
      <c r="I863" t="s">
        <v>10</v>
      </c>
      <c r="J863">
        <f>_xlfn.XLOOKUP(C863,dim_BMI!$C$2:$C$7,dim_BMI!$A$2:$A$7,,1)</f>
        <v>2</v>
      </c>
      <c r="K863" t="str">
        <f>_xlfn.XLOOKUP(C863,dim_BMI!$C$2:$C$7,dim_BMI!$B$2:$B$7,,1)</f>
        <v>18.5 to 24.9 (Healthy Weight)</v>
      </c>
    </row>
    <row r="864" spans="1:11" x14ac:dyDescent="0.25">
      <c r="A864" s="1">
        <v>1031</v>
      </c>
      <c r="B864">
        <v>46</v>
      </c>
      <c r="C864">
        <v>23.655000000000001</v>
      </c>
      <c r="D864">
        <v>1</v>
      </c>
      <c r="E864">
        <f t="shared" si="13"/>
        <v>1</v>
      </c>
      <c r="F864">
        <v>21677.283449999999</v>
      </c>
      <c r="G864" t="s">
        <v>13</v>
      </c>
      <c r="H864" t="s">
        <v>8</v>
      </c>
      <c r="I864" t="s">
        <v>7</v>
      </c>
      <c r="J864">
        <f>_xlfn.XLOOKUP(C864,dim_BMI!$C$2:$C$7,dim_BMI!$A$2:$A$7,,1)</f>
        <v>2</v>
      </c>
      <c r="K864" t="str">
        <f>_xlfn.XLOOKUP(C864,dim_BMI!$C$2:$C$7,dim_BMI!$B$2:$B$7,,1)</f>
        <v>18.5 to 24.9 (Healthy Weight)</v>
      </c>
    </row>
    <row r="865" spans="1:11" x14ac:dyDescent="0.25">
      <c r="A865" s="1">
        <v>1122</v>
      </c>
      <c r="B865">
        <v>46</v>
      </c>
      <c r="C865">
        <v>38.17</v>
      </c>
      <c r="D865">
        <v>2</v>
      </c>
      <c r="E865">
        <f t="shared" si="13"/>
        <v>0</v>
      </c>
      <c r="F865">
        <v>8347.1643000000004</v>
      </c>
      <c r="G865" t="s">
        <v>12</v>
      </c>
      <c r="H865" t="s">
        <v>11</v>
      </c>
      <c r="I865" t="s">
        <v>10</v>
      </c>
      <c r="J865">
        <f>_xlfn.XLOOKUP(C865,dim_BMI!$C$2:$C$7,dim_BMI!$A$2:$A$7,,1)</f>
        <v>5</v>
      </c>
      <c r="K865" t="str">
        <f>_xlfn.XLOOKUP(C865,dim_BMI!$C$2:$C$7,dim_BMI!$B$2:$B$7,,1)</f>
        <v>35 to 39.9 (Obesity Class 2)</v>
      </c>
    </row>
    <row r="866" spans="1:11" x14ac:dyDescent="0.25">
      <c r="A866" s="1">
        <v>1202</v>
      </c>
      <c r="B866">
        <v>46</v>
      </c>
      <c r="C866">
        <v>40.375</v>
      </c>
      <c r="D866">
        <v>2</v>
      </c>
      <c r="E866">
        <f t="shared" si="13"/>
        <v>0</v>
      </c>
      <c r="F866">
        <v>8733.2292500000003</v>
      </c>
      <c r="G866" t="s">
        <v>13</v>
      </c>
      <c r="H866" t="s">
        <v>11</v>
      </c>
      <c r="I866" t="s">
        <v>10</v>
      </c>
      <c r="J866">
        <f>_xlfn.XLOOKUP(C866,dim_BMI!$C$2:$C$7,dim_BMI!$A$2:$A$7,,1)</f>
        <v>6</v>
      </c>
      <c r="K866" t="str">
        <f>_xlfn.XLOOKUP(C866,dim_BMI!$C$2:$C$7,dim_BMI!$B$2:$B$7,,1)</f>
        <v>40 or higher (Severe Obesity Class 3)</v>
      </c>
    </row>
    <row r="867" spans="1:11" x14ac:dyDescent="0.25">
      <c r="A867" s="1">
        <v>1219</v>
      </c>
      <c r="B867">
        <v>46</v>
      </c>
      <c r="C867">
        <v>34.6</v>
      </c>
      <c r="D867">
        <v>1</v>
      </c>
      <c r="E867">
        <f t="shared" si="13"/>
        <v>1</v>
      </c>
      <c r="F867">
        <v>41661.601999999999</v>
      </c>
      <c r="G867" t="s">
        <v>9</v>
      </c>
      <c r="H867" t="s">
        <v>8</v>
      </c>
      <c r="I867" t="s">
        <v>7</v>
      </c>
      <c r="J867">
        <f>_xlfn.XLOOKUP(C867,dim_BMI!$C$2:$C$7,dim_BMI!$A$2:$A$7,,1)</f>
        <v>4</v>
      </c>
      <c r="K867" t="str">
        <f>_xlfn.XLOOKUP(C867,dim_BMI!$C$2:$C$7,dim_BMI!$B$2:$B$7,,1)</f>
        <v>30.0 to 34.9 (Obesity Class 1)</v>
      </c>
    </row>
    <row r="868" spans="1:11" x14ac:dyDescent="0.25">
      <c r="A868" s="1">
        <v>1294</v>
      </c>
      <c r="B868">
        <v>46</v>
      </c>
      <c r="C868">
        <v>25.745000000000001</v>
      </c>
      <c r="D868">
        <v>3</v>
      </c>
      <c r="E868">
        <f t="shared" si="13"/>
        <v>0</v>
      </c>
      <c r="F868">
        <v>9301.8935500000007</v>
      </c>
      <c r="G868" t="s">
        <v>13</v>
      </c>
      <c r="H868" t="s">
        <v>11</v>
      </c>
      <c r="I868" t="s">
        <v>10</v>
      </c>
      <c r="J868">
        <f>_xlfn.XLOOKUP(C868,dim_BMI!$C$2:$C$7,dim_BMI!$A$2:$A$7,,1)</f>
        <v>3</v>
      </c>
      <c r="K868" t="str">
        <f>_xlfn.XLOOKUP(C868,dim_BMI!$C$2:$C$7,dim_BMI!$B$2:$B$7,,1)</f>
        <v>25.0 to 29.9 (Overweight)</v>
      </c>
    </row>
    <row r="869" spans="1:11" x14ac:dyDescent="0.25">
      <c r="A869" s="1">
        <v>125</v>
      </c>
      <c r="B869">
        <v>47</v>
      </c>
      <c r="C869">
        <v>33.914999999999999</v>
      </c>
      <c r="D869">
        <v>3</v>
      </c>
      <c r="E869">
        <f t="shared" si="13"/>
        <v>0</v>
      </c>
      <c r="F869">
        <v>10115.00885</v>
      </c>
      <c r="G869" t="s">
        <v>13</v>
      </c>
      <c r="H869" t="s">
        <v>11</v>
      </c>
      <c r="I869" t="s">
        <v>7</v>
      </c>
      <c r="J869">
        <f>_xlfn.XLOOKUP(C869,dim_BMI!$C$2:$C$7,dim_BMI!$A$2:$A$7,,1)</f>
        <v>4</v>
      </c>
      <c r="K869" t="str">
        <f>_xlfn.XLOOKUP(C869,dim_BMI!$C$2:$C$7,dim_BMI!$B$2:$B$7,,1)</f>
        <v>30.0 to 34.9 (Obesity Class 1)</v>
      </c>
    </row>
    <row r="870" spans="1:11" x14ac:dyDescent="0.25">
      <c r="A870" s="1">
        <v>166</v>
      </c>
      <c r="B870">
        <v>47</v>
      </c>
      <c r="C870">
        <v>28.215</v>
      </c>
      <c r="D870">
        <v>4</v>
      </c>
      <c r="E870">
        <f t="shared" si="13"/>
        <v>0</v>
      </c>
      <c r="F870">
        <v>10407.085849999999</v>
      </c>
      <c r="G870" t="s">
        <v>14</v>
      </c>
      <c r="H870" t="s">
        <v>11</v>
      </c>
      <c r="I870" t="s">
        <v>10</v>
      </c>
      <c r="J870">
        <f>_xlfn.XLOOKUP(C870,dim_BMI!$C$2:$C$7,dim_BMI!$A$2:$A$7,,1)</f>
        <v>3</v>
      </c>
      <c r="K870" t="str">
        <f>_xlfn.XLOOKUP(C870,dim_BMI!$C$2:$C$7,dim_BMI!$B$2:$B$7,,1)</f>
        <v>25.0 to 29.9 (Overweight)</v>
      </c>
    </row>
    <row r="871" spans="1:11" x14ac:dyDescent="0.25">
      <c r="A871" s="1">
        <v>230</v>
      </c>
      <c r="B871">
        <v>47</v>
      </c>
      <c r="C871">
        <v>25.46</v>
      </c>
      <c r="D871">
        <v>2</v>
      </c>
      <c r="E871">
        <f t="shared" si="13"/>
        <v>0</v>
      </c>
      <c r="F871">
        <v>9225.2564000000002</v>
      </c>
      <c r="G871" t="s">
        <v>14</v>
      </c>
      <c r="H871" t="s">
        <v>11</v>
      </c>
      <c r="I871" t="s">
        <v>10</v>
      </c>
      <c r="J871">
        <f>_xlfn.XLOOKUP(C871,dim_BMI!$C$2:$C$7,dim_BMI!$A$2:$A$7,,1)</f>
        <v>3</v>
      </c>
      <c r="K871" t="str">
        <f>_xlfn.XLOOKUP(C871,dim_BMI!$C$2:$C$7,dim_BMI!$B$2:$B$7,,1)</f>
        <v>25.0 to 29.9 (Overweight)</v>
      </c>
    </row>
    <row r="872" spans="1:11" x14ac:dyDescent="0.25">
      <c r="A872" s="1">
        <v>276</v>
      </c>
      <c r="B872">
        <v>47</v>
      </c>
      <c r="C872">
        <v>26.6</v>
      </c>
      <c r="D872">
        <v>2</v>
      </c>
      <c r="E872">
        <f t="shared" si="13"/>
        <v>0</v>
      </c>
      <c r="F872">
        <v>9715.8410000000003</v>
      </c>
      <c r="G872" t="s">
        <v>14</v>
      </c>
      <c r="H872" t="s">
        <v>11</v>
      </c>
      <c r="I872" t="s">
        <v>7</v>
      </c>
      <c r="J872">
        <f>_xlfn.XLOOKUP(C872,dim_BMI!$C$2:$C$7,dim_BMI!$A$2:$A$7,,1)</f>
        <v>3</v>
      </c>
      <c r="K872" t="str">
        <f>_xlfn.XLOOKUP(C872,dim_BMI!$C$2:$C$7,dim_BMI!$B$2:$B$7,,1)</f>
        <v>25.0 to 29.9 (Overweight)</v>
      </c>
    </row>
    <row r="873" spans="1:11" x14ac:dyDescent="0.25">
      <c r="A873" s="1">
        <v>298</v>
      </c>
      <c r="B873">
        <v>47</v>
      </c>
      <c r="C873">
        <v>25.41</v>
      </c>
      <c r="D873">
        <v>1</v>
      </c>
      <c r="E873">
        <f t="shared" si="13"/>
        <v>1</v>
      </c>
      <c r="F873">
        <v>21978.676899999999</v>
      </c>
      <c r="G873" t="s">
        <v>12</v>
      </c>
      <c r="H873" t="s">
        <v>8</v>
      </c>
      <c r="I873" t="s">
        <v>10</v>
      </c>
      <c r="J873">
        <f>_xlfn.XLOOKUP(C873,dim_BMI!$C$2:$C$7,dim_BMI!$A$2:$A$7,,1)</f>
        <v>3</v>
      </c>
      <c r="K873" t="str">
        <f>_xlfn.XLOOKUP(C873,dim_BMI!$C$2:$C$7,dim_BMI!$B$2:$B$7,,1)</f>
        <v>25.0 to 29.9 (Overweight)</v>
      </c>
    </row>
    <row r="874" spans="1:11" x14ac:dyDescent="0.25">
      <c r="A874" s="1">
        <v>358</v>
      </c>
      <c r="B874">
        <v>47</v>
      </c>
      <c r="C874">
        <v>29.83</v>
      </c>
      <c r="D874">
        <v>3</v>
      </c>
      <c r="E874">
        <f t="shared" si="13"/>
        <v>0</v>
      </c>
      <c r="F874">
        <v>9620.3307000000004</v>
      </c>
      <c r="G874" t="s">
        <v>13</v>
      </c>
      <c r="H874" t="s">
        <v>11</v>
      </c>
      <c r="I874" t="s">
        <v>10</v>
      </c>
      <c r="J874">
        <f>_xlfn.XLOOKUP(C874,dim_BMI!$C$2:$C$7,dim_BMI!$A$2:$A$7,,1)</f>
        <v>3</v>
      </c>
      <c r="K874" t="str">
        <f>_xlfn.XLOOKUP(C874,dim_BMI!$C$2:$C$7,dim_BMI!$B$2:$B$7,,1)</f>
        <v>25.0 to 29.9 (Overweight)</v>
      </c>
    </row>
    <row r="875" spans="1:11" x14ac:dyDescent="0.25">
      <c r="A875" s="1">
        <v>402</v>
      </c>
      <c r="B875">
        <v>47</v>
      </c>
      <c r="C875">
        <v>47.52</v>
      </c>
      <c r="D875">
        <v>1</v>
      </c>
      <c r="E875">
        <f t="shared" si="13"/>
        <v>0</v>
      </c>
      <c r="F875">
        <v>8083.9197999999997</v>
      </c>
      <c r="G875" t="s">
        <v>12</v>
      </c>
      <c r="H875" t="s">
        <v>11</v>
      </c>
      <c r="I875" t="s">
        <v>10</v>
      </c>
      <c r="J875">
        <f>_xlfn.XLOOKUP(C875,dim_BMI!$C$2:$C$7,dim_BMI!$A$2:$A$7,,1)</f>
        <v>6</v>
      </c>
      <c r="K875" t="str">
        <f>_xlfn.XLOOKUP(C875,dim_BMI!$C$2:$C$7,dim_BMI!$B$2:$B$7,,1)</f>
        <v>40 or higher (Severe Obesity Class 3)</v>
      </c>
    </row>
    <row r="876" spans="1:11" x14ac:dyDescent="0.25">
      <c r="A876" s="1">
        <v>408</v>
      </c>
      <c r="B876">
        <v>47</v>
      </c>
      <c r="C876">
        <v>23.6</v>
      </c>
      <c r="D876">
        <v>1</v>
      </c>
      <c r="E876">
        <f t="shared" si="13"/>
        <v>0</v>
      </c>
      <c r="F876">
        <v>8539.6710000000003</v>
      </c>
      <c r="G876" t="s">
        <v>9</v>
      </c>
      <c r="H876" t="s">
        <v>11</v>
      </c>
      <c r="I876" t="s">
        <v>7</v>
      </c>
      <c r="J876">
        <f>_xlfn.XLOOKUP(C876,dim_BMI!$C$2:$C$7,dim_BMI!$A$2:$A$7,,1)</f>
        <v>2</v>
      </c>
      <c r="K876" t="str">
        <f>_xlfn.XLOOKUP(C876,dim_BMI!$C$2:$C$7,dim_BMI!$B$2:$B$7,,1)</f>
        <v>18.5 to 24.9 (Healthy Weight)</v>
      </c>
    </row>
    <row r="877" spans="1:11" x14ac:dyDescent="0.25">
      <c r="A877" s="1">
        <v>474</v>
      </c>
      <c r="B877">
        <v>47</v>
      </c>
      <c r="C877">
        <v>33.344999999999999</v>
      </c>
      <c r="D877">
        <v>0</v>
      </c>
      <c r="E877">
        <f t="shared" si="13"/>
        <v>0</v>
      </c>
      <c r="F877">
        <v>20878.78443</v>
      </c>
      <c r="G877" t="s">
        <v>14</v>
      </c>
      <c r="H877" t="s">
        <v>11</v>
      </c>
      <c r="I877" t="s">
        <v>7</v>
      </c>
      <c r="J877">
        <f>_xlfn.XLOOKUP(C877,dim_BMI!$C$2:$C$7,dim_BMI!$A$2:$A$7,,1)</f>
        <v>4</v>
      </c>
      <c r="K877" t="str">
        <f>_xlfn.XLOOKUP(C877,dim_BMI!$C$2:$C$7,dim_BMI!$B$2:$B$7,,1)</f>
        <v>30.0 to 34.9 (Obesity Class 1)</v>
      </c>
    </row>
    <row r="878" spans="1:11" x14ac:dyDescent="0.25">
      <c r="A878" s="1">
        <v>592</v>
      </c>
      <c r="B878">
        <v>47</v>
      </c>
      <c r="C878">
        <v>19.57</v>
      </c>
      <c r="D878">
        <v>1</v>
      </c>
      <c r="E878">
        <f t="shared" si="13"/>
        <v>0</v>
      </c>
      <c r="F878">
        <v>8428.0692999999992</v>
      </c>
      <c r="G878" t="s">
        <v>13</v>
      </c>
      <c r="H878" t="s">
        <v>11</v>
      </c>
      <c r="I878" t="s">
        <v>10</v>
      </c>
      <c r="J878">
        <f>_xlfn.XLOOKUP(C878,dim_BMI!$C$2:$C$7,dim_BMI!$A$2:$A$7,,1)</f>
        <v>2</v>
      </c>
      <c r="K878" t="str">
        <f>_xlfn.XLOOKUP(C878,dim_BMI!$C$2:$C$7,dim_BMI!$B$2:$B$7,,1)</f>
        <v>18.5 to 24.9 (Healthy Weight)</v>
      </c>
    </row>
    <row r="879" spans="1:11" x14ac:dyDescent="0.25">
      <c r="A879" s="1">
        <v>611</v>
      </c>
      <c r="B879">
        <v>47</v>
      </c>
      <c r="C879">
        <v>29.37</v>
      </c>
      <c r="D879">
        <v>1</v>
      </c>
      <c r="E879">
        <f t="shared" si="13"/>
        <v>0</v>
      </c>
      <c r="F879">
        <v>8547.6913000000004</v>
      </c>
      <c r="G879" t="s">
        <v>12</v>
      </c>
      <c r="H879" t="s">
        <v>11</v>
      </c>
      <c r="I879" t="s">
        <v>7</v>
      </c>
      <c r="J879">
        <f>_xlfn.XLOOKUP(C879,dim_BMI!$C$2:$C$7,dim_BMI!$A$2:$A$7,,1)</f>
        <v>3</v>
      </c>
      <c r="K879" t="str">
        <f>_xlfn.XLOOKUP(C879,dim_BMI!$C$2:$C$7,dim_BMI!$B$2:$B$7,,1)</f>
        <v>25.0 to 29.9 (Overweight)</v>
      </c>
    </row>
    <row r="880" spans="1:11" x14ac:dyDescent="0.25">
      <c r="A880" s="1">
        <v>616</v>
      </c>
      <c r="B880">
        <v>47</v>
      </c>
      <c r="C880">
        <v>36.630000000000003</v>
      </c>
      <c r="D880">
        <v>1</v>
      </c>
      <c r="E880">
        <f t="shared" si="13"/>
        <v>1</v>
      </c>
      <c r="F880">
        <v>42969.852700000003</v>
      </c>
      <c r="G880" t="s">
        <v>12</v>
      </c>
      <c r="H880" t="s">
        <v>8</v>
      </c>
      <c r="I880" t="s">
        <v>7</v>
      </c>
      <c r="J880">
        <f>_xlfn.XLOOKUP(C880,dim_BMI!$C$2:$C$7,dim_BMI!$A$2:$A$7,,1)</f>
        <v>5</v>
      </c>
      <c r="K880" t="str">
        <f>_xlfn.XLOOKUP(C880,dim_BMI!$C$2:$C$7,dim_BMI!$B$2:$B$7,,1)</f>
        <v>35 to 39.9 (Obesity Class 2)</v>
      </c>
    </row>
    <row r="881" spans="1:11" x14ac:dyDescent="0.25">
      <c r="A881" s="1">
        <v>689</v>
      </c>
      <c r="B881">
        <v>47</v>
      </c>
      <c r="C881">
        <v>24.1</v>
      </c>
      <c r="D881">
        <v>1</v>
      </c>
      <c r="E881">
        <f t="shared" si="13"/>
        <v>0</v>
      </c>
      <c r="F881">
        <v>26236.579969999999</v>
      </c>
      <c r="G881" t="s">
        <v>9</v>
      </c>
      <c r="H881" t="s">
        <v>11</v>
      </c>
      <c r="I881" t="s">
        <v>7</v>
      </c>
      <c r="J881">
        <f>_xlfn.XLOOKUP(C881,dim_BMI!$C$2:$C$7,dim_BMI!$A$2:$A$7,,1)</f>
        <v>2</v>
      </c>
      <c r="K881" t="str">
        <f>_xlfn.XLOOKUP(C881,dim_BMI!$C$2:$C$7,dim_BMI!$B$2:$B$7,,1)</f>
        <v>18.5 to 24.9 (Healthy Weight)</v>
      </c>
    </row>
    <row r="882" spans="1:11" x14ac:dyDescent="0.25">
      <c r="A882" s="1">
        <v>692</v>
      </c>
      <c r="B882">
        <v>47</v>
      </c>
      <c r="C882">
        <v>36.200000000000003</v>
      </c>
      <c r="D882">
        <v>1</v>
      </c>
      <c r="E882">
        <f t="shared" si="13"/>
        <v>0</v>
      </c>
      <c r="F882">
        <v>8068.1850000000004</v>
      </c>
      <c r="G882" t="s">
        <v>9</v>
      </c>
      <c r="H882" t="s">
        <v>11</v>
      </c>
      <c r="I882" t="s">
        <v>10</v>
      </c>
      <c r="J882">
        <f>_xlfn.XLOOKUP(C882,dim_BMI!$C$2:$C$7,dim_BMI!$A$2:$A$7,,1)</f>
        <v>5</v>
      </c>
      <c r="K882" t="str">
        <f>_xlfn.XLOOKUP(C882,dim_BMI!$C$2:$C$7,dim_BMI!$B$2:$B$7,,1)</f>
        <v>35 to 39.9 (Obesity Class 2)</v>
      </c>
    </row>
    <row r="883" spans="1:11" x14ac:dyDescent="0.25">
      <c r="A883" s="1">
        <v>705</v>
      </c>
      <c r="B883">
        <v>47</v>
      </c>
      <c r="C883">
        <v>29.545000000000002</v>
      </c>
      <c r="D883">
        <v>1</v>
      </c>
      <c r="E883">
        <f t="shared" si="13"/>
        <v>0</v>
      </c>
      <c r="F883">
        <v>8930.9345499999999</v>
      </c>
      <c r="G883" t="s">
        <v>13</v>
      </c>
      <c r="H883" t="s">
        <v>11</v>
      </c>
      <c r="I883" t="s">
        <v>7</v>
      </c>
      <c r="J883">
        <f>_xlfn.XLOOKUP(C883,dim_BMI!$C$2:$C$7,dim_BMI!$A$2:$A$7,,1)</f>
        <v>3</v>
      </c>
      <c r="K883" t="str">
        <f>_xlfn.XLOOKUP(C883,dim_BMI!$C$2:$C$7,dim_BMI!$B$2:$B$7,,1)</f>
        <v>25.0 to 29.9 (Overweight)</v>
      </c>
    </row>
    <row r="884" spans="1:11" x14ac:dyDescent="0.25">
      <c r="A884" s="1">
        <v>749</v>
      </c>
      <c r="B884">
        <v>47</v>
      </c>
      <c r="C884">
        <v>36</v>
      </c>
      <c r="D884">
        <v>1</v>
      </c>
      <c r="E884">
        <f t="shared" si="13"/>
        <v>0</v>
      </c>
      <c r="F884">
        <v>8556.9069999999992</v>
      </c>
      <c r="G884" t="s">
        <v>9</v>
      </c>
      <c r="H884" t="s">
        <v>11</v>
      </c>
      <c r="I884" t="s">
        <v>7</v>
      </c>
      <c r="J884">
        <f>_xlfn.XLOOKUP(C884,dim_BMI!$C$2:$C$7,dim_BMI!$A$2:$A$7,,1)</f>
        <v>5</v>
      </c>
      <c r="K884" t="str">
        <f>_xlfn.XLOOKUP(C884,dim_BMI!$C$2:$C$7,dim_BMI!$B$2:$B$7,,1)</f>
        <v>35 to 39.9 (Obesity Class 2)</v>
      </c>
    </row>
    <row r="885" spans="1:11" x14ac:dyDescent="0.25">
      <c r="A885" s="1">
        <v>758</v>
      </c>
      <c r="B885">
        <v>47</v>
      </c>
      <c r="C885">
        <v>27.83</v>
      </c>
      <c r="D885">
        <v>0</v>
      </c>
      <c r="E885">
        <f t="shared" si="13"/>
        <v>1</v>
      </c>
      <c r="F885">
        <v>23065.420699999999</v>
      </c>
      <c r="G885" t="s">
        <v>12</v>
      </c>
      <c r="H885" t="s">
        <v>8</v>
      </c>
      <c r="I885" t="s">
        <v>7</v>
      </c>
      <c r="J885">
        <f>_xlfn.XLOOKUP(C885,dim_BMI!$C$2:$C$7,dim_BMI!$A$2:$A$7,,1)</f>
        <v>3</v>
      </c>
      <c r="K885" t="str">
        <f>_xlfn.XLOOKUP(C885,dim_BMI!$C$2:$C$7,dim_BMI!$B$2:$B$7,,1)</f>
        <v>25.0 to 29.9 (Overweight)</v>
      </c>
    </row>
    <row r="886" spans="1:11" x14ac:dyDescent="0.25">
      <c r="A886" s="1">
        <v>767</v>
      </c>
      <c r="B886">
        <v>47</v>
      </c>
      <c r="C886">
        <v>32.299999999999997</v>
      </c>
      <c r="D886">
        <v>1</v>
      </c>
      <c r="E886">
        <f t="shared" si="13"/>
        <v>0</v>
      </c>
      <c r="F886">
        <v>8062.7640000000001</v>
      </c>
      <c r="G886" t="s">
        <v>9</v>
      </c>
      <c r="H886" t="s">
        <v>11</v>
      </c>
      <c r="I886" t="s">
        <v>10</v>
      </c>
      <c r="J886">
        <f>_xlfn.XLOOKUP(C886,dim_BMI!$C$2:$C$7,dim_BMI!$A$2:$A$7,,1)</f>
        <v>4</v>
      </c>
      <c r="K886" t="str">
        <f>_xlfn.XLOOKUP(C886,dim_BMI!$C$2:$C$7,dim_BMI!$B$2:$B$7,,1)</f>
        <v>30.0 to 34.9 (Obesity Class 1)</v>
      </c>
    </row>
    <row r="887" spans="1:11" x14ac:dyDescent="0.25">
      <c r="A887" s="1">
        <v>819</v>
      </c>
      <c r="B887">
        <v>47</v>
      </c>
      <c r="C887">
        <v>26.125</v>
      </c>
      <c r="D887">
        <v>1</v>
      </c>
      <c r="E887">
        <f t="shared" si="13"/>
        <v>1</v>
      </c>
      <c r="F887">
        <v>23401.30575</v>
      </c>
      <c r="G887" t="s">
        <v>14</v>
      </c>
      <c r="H887" t="s">
        <v>8</v>
      </c>
      <c r="I887" t="s">
        <v>7</v>
      </c>
      <c r="J887">
        <f>_xlfn.XLOOKUP(C887,dim_BMI!$C$2:$C$7,dim_BMI!$A$2:$A$7,,1)</f>
        <v>3</v>
      </c>
      <c r="K887" t="str">
        <f>_xlfn.XLOOKUP(C887,dim_BMI!$C$2:$C$7,dim_BMI!$B$2:$B$7,,1)</f>
        <v>25.0 to 29.9 (Overweight)</v>
      </c>
    </row>
    <row r="888" spans="1:11" x14ac:dyDescent="0.25">
      <c r="A888" s="1">
        <v>894</v>
      </c>
      <c r="B888">
        <v>47</v>
      </c>
      <c r="C888">
        <v>38.94</v>
      </c>
      <c r="D888">
        <v>2</v>
      </c>
      <c r="E888">
        <f t="shared" si="13"/>
        <v>1</v>
      </c>
      <c r="F888">
        <v>44202.653599999998</v>
      </c>
      <c r="G888" t="s">
        <v>12</v>
      </c>
      <c r="H888" t="s">
        <v>8</v>
      </c>
      <c r="I888" t="s">
        <v>10</v>
      </c>
      <c r="J888">
        <f>_xlfn.XLOOKUP(C888,dim_BMI!$C$2:$C$7,dim_BMI!$A$2:$A$7,,1)</f>
        <v>5</v>
      </c>
      <c r="K888" t="str">
        <f>_xlfn.XLOOKUP(C888,dim_BMI!$C$2:$C$7,dim_BMI!$B$2:$B$7,,1)</f>
        <v>35 to 39.9 (Obesity Class 2)</v>
      </c>
    </row>
    <row r="889" spans="1:11" x14ac:dyDescent="0.25">
      <c r="A889" s="1">
        <v>1005</v>
      </c>
      <c r="B889">
        <v>47</v>
      </c>
      <c r="C889">
        <v>19.190000000000001</v>
      </c>
      <c r="D889">
        <v>1</v>
      </c>
      <c r="E889">
        <f t="shared" si="13"/>
        <v>0</v>
      </c>
      <c r="F889">
        <v>8627.5411000000004</v>
      </c>
      <c r="G889" t="s">
        <v>14</v>
      </c>
      <c r="H889" t="s">
        <v>11</v>
      </c>
      <c r="I889" t="s">
        <v>10</v>
      </c>
      <c r="J889">
        <f>_xlfn.XLOOKUP(C889,dim_BMI!$C$2:$C$7,dim_BMI!$A$2:$A$7,,1)</f>
        <v>2</v>
      </c>
      <c r="K889" t="str">
        <f>_xlfn.XLOOKUP(C889,dim_BMI!$C$2:$C$7,dim_BMI!$B$2:$B$7,,1)</f>
        <v>18.5 to 24.9 (Healthy Weight)</v>
      </c>
    </row>
    <row r="890" spans="1:11" x14ac:dyDescent="0.25">
      <c r="A890" s="1">
        <v>1008</v>
      </c>
      <c r="B890">
        <v>47</v>
      </c>
      <c r="C890">
        <v>28.215</v>
      </c>
      <c r="D890">
        <v>3</v>
      </c>
      <c r="E890">
        <f t="shared" si="13"/>
        <v>1</v>
      </c>
      <c r="F890">
        <v>24915.220850000002</v>
      </c>
      <c r="G890" t="s">
        <v>13</v>
      </c>
      <c r="H890" t="s">
        <v>8</v>
      </c>
      <c r="I890" t="s">
        <v>10</v>
      </c>
      <c r="J890">
        <f>_xlfn.XLOOKUP(C890,dim_BMI!$C$2:$C$7,dim_BMI!$A$2:$A$7,,1)</f>
        <v>3</v>
      </c>
      <c r="K890" t="str">
        <f>_xlfn.XLOOKUP(C890,dim_BMI!$C$2:$C$7,dim_BMI!$B$2:$B$7,,1)</f>
        <v>25.0 to 29.9 (Overweight)</v>
      </c>
    </row>
    <row r="891" spans="1:11" x14ac:dyDescent="0.25">
      <c r="A891" s="1">
        <v>1023</v>
      </c>
      <c r="B891">
        <v>47</v>
      </c>
      <c r="C891">
        <v>36.08</v>
      </c>
      <c r="D891">
        <v>1</v>
      </c>
      <c r="E891">
        <f t="shared" si="13"/>
        <v>1</v>
      </c>
      <c r="F891">
        <v>42211.138200000001</v>
      </c>
      <c r="G891" t="s">
        <v>12</v>
      </c>
      <c r="H891" t="s">
        <v>8</v>
      </c>
      <c r="I891" t="s">
        <v>10</v>
      </c>
      <c r="J891">
        <f>_xlfn.XLOOKUP(C891,dim_BMI!$C$2:$C$7,dim_BMI!$A$2:$A$7,,1)</f>
        <v>5</v>
      </c>
      <c r="K891" t="str">
        <f>_xlfn.XLOOKUP(C891,dim_BMI!$C$2:$C$7,dim_BMI!$B$2:$B$7,,1)</f>
        <v>35 to 39.9 (Obesity Class 2)</v>
      </c>
    </row>
    <row r="892" spans="1:11" x14ac:dyDescent="0.25">
      <c r="A892" s="1">
        <v>1025</v>
      </c>
      <c r="B892">
        <v>47</v>
      </c>
      <c r="C892">
        <v>45.32</v>
      </c>
      <c r="D892">
        <v>1</v>
      </c>
      <c r="E892">
        <f t="shared" si="13"/>
        <v>0</v>
      </c>
      <c r="F892">
        <v>8569.8618000000006</v>
      </c>
      <c r="G892" t="s">
        <v>12</v>
      </c>
      <c r="H892" t="s">
        <v>11</v>
      </c>
      <c r="I892" t="s">
        <v>7</v>
      </c>
      <c r="J892">
        <f>_xlfn.XLOOKUP(C892,dim_BMI!$C$2:$C$7,dim_BMI!$A$2:$A$7,,1)</f>
        <v>6</v>
      </c>
      <c r="K892" t="str">
        <f>_xlfn.XLOOKUP(C892,dim_BMI!$C$2:$C$7,dim_BMI!$B$2:$B$7,,1)</f>
        <v>40 or higher (Severe Obesity Class 3)</v>
      </c>
    </row>
    <row r="893" spans="1:11" x14ac:dyDescent="0.25">
      <c r="A893" s="1">
        <v>1054</v>
      </c>
      <c r="B893">
        <v>47</v>
      </c>
      <c r="C893">
        <v>29.8</v>
      </c>
      <c r="D893">
        <v>3</v>
      </c>
      <c r="E893">
        <f t="shared" si="13"/>
        <v>1</v>
      </c>
      <c r="F893">
        <v>25309.489000000001</v>
      </c>
      <c r="G893" t="s">
        <v>9</v>
      </c>
      <c r="H893" t="s">
        <v>8</v>
      </c>
      <c r="I893" t="s">
        <v>10</v>
      </c>
      <c r="J893">
        <f>_xlfn.XLOOKUP(C893,dim_BMI!$C$2:$C$7,dim_BMI!$A$2:$A$7,,1)</f>
        <v>3</v>
      </c>
      <c r="K893" t="str">
        <f>_xlfn.XLOOKUP(C893,dim_BMI!$C$2:$C$7,dim_BMI!$B$2:$B$7,,1)</f>
        <v>25.0 to 29.9 (Overweight)</v>
      </c>
    </row>
    <row r="894" spans="1:11" x14ac:dyDescent="0.25">
      <c r="A894" s="1">
        <v>1077</v>
      </c>
      <c r="B894">
        <v>47</v>
      </c>
      <c r="C894">
        <v>32</v>
      </c>
      <c r="D894">
        <v>1</v>
      </c>
      <c r="E894">
        <f t="shared" si="13"/>
        <v>0</v>
      </c>
      <c r="F894">
        <v>8551.3469999999998</v>
      </c>
      <c r="G894" t="s">
        <v>9</v>
      </c>
      <c r="H894" t="s">
        <v>11</v>
      </c>
      <c r="I894" t="s">
        <v>7</v>
      </c>
      <c r="J894">
        <f>_xlfn.XLOOKUP(C894,dim_BMI!$C$2:$C$7,dim_BMI!$A$2:$A$7,,1)</f>
        <v>4</v>
      </c>
      <c r="K894" t="str">
        <f>_xlfn.XLOOKUP(C894,dim_BMI!$C$2:$C$7,dim_BMI!$B$2:$B$7,,1)</f>
        <v>30.0 to 34.9 (Obesity Class 1)</v>
      </c>
    </row>
    <row r="895" spans="1:11" x14ac:dyDescent="0.25">
      <c r="A895" s="1">
        <v>1091</v>
      </c>
      <c r="B895">
        <v>47</v>
      </c>
      <c r="C895">
        <v>36.19</v>
      </c>
      <c r="D895">
        <v>0</v>
      </c>
      <c r="E895">
        <f t="shared" si="13"/>
        <v>1</v>
      </c>
      <c r="F895">
        <v>41676.081100000003</v>
      </c>
      <c r="G895" t="s">
        <v>12</v>
      </c>
      <c r="H895" t="s">
        <v>8</v>
      </c>
      <c r="I895" t="s">
        <v>10</v>
      </c>
      <c r="J895">
        <f>_xlfn.XLOOKUP(C895,dim_BMI!$C$2:$C$7,dim_BMI!$A$2:$A$7,,1)</f>
        <v>5</v>
      </c>
      <c r="K895" t="str">
        <f>_xlfn.XLOOKUP(C895,dim_BMI!$C$2:$C$7,dim_BMI!$B$2:$B$7,,1)</f>
        <v>35 to 39.9 (Obesity Class 2)</v>
      </c>
    </row>
    <row r="896" spans="1:11" x14ac:dyDescent="0.25">
      <c r="A896" s="1">
        <v>1282</v>
      </c>
      <c r="B896">
        <v>47</v>
      </c>
      <c r="C896">
        <v>27.645</v>
      </c>
      <c r="D896">
        <v>2</v>
      </c>
      <c r="E896">
        <f t="shared" si="13"/>
        <v>1</v>
      </c>
      <c r="F896">
        <v>24535.698550000001</v>
      </c>
      <c r="G896" t="s">
        <v>13</v>
      </c>
      <c r="H896" t="s">
        <v>8</v>
      </c>
      <c r="I896" t="s">
        <v>7</v>
      </c>
      <c r="J896">
        <f>_xlfn.XLOOKUP(C896,dim_BMI!$C$2:$C$7,dim_BMI!$A$2:$A$7,,1)</f>
        <v>3</v>
      </c>
      <c r="K896" t="str">
        <f>_xlfn.XLOOKUP(C896,dim_BMI!$C$2:$C$7,dim_BMI!$B$2:$B$7,,1)</f>
        <v>25.0 to 29.9 (Overweight)</v>
      </c>
    </row>
    <row r="897" spans="1:11" x14ac:dyDescent="0.25">
      <c r="A897" s="1">
        <v>1286</v>
      </c>
      <c r="B897">
        <v>47</v>
      </c>
      <c r="C897">
        <v>24.32</v>
      </c>
      <c r="D897">
        <v>0</v>
      </c>
      <c r="E897">
        <f t="shared" si="13"/>
        <v>0</v>
      </c>
      <c r="F897">
        <v>8534.6718000000001</v>
      </c>
      <c r="G897" t="s">
        <v>14</v>
      </c>
      <c r="H897" t="s">
        <v>11</v>
      </c>
      <c r="I897" t="s">
        <v>7</v>
      </c>
      <c r="J897">
        <f>_xlfn.XLOOKUP(C897,dim_BMI!$C$2:$C$7,dim_BMI!$A$2:$A$7,,1)</f>
        <v>2</v>
      </c>
      <c r="K897" t="str">
        <f>_xlfn.XLOOKUP(C897,dim_BMI!$C$2:$C$7,dim_BMI!$B$2:$B$7,,1)</f>
        <v>18.5 to 24.9 (Healthy Weight)</v>
      </c>
    </row>
    <row r="898" spans="1:11" x14ac:dyDescent="0.25">
      <c r="A898" s="1">
        <v>53</v>
      </c>
      <c r="B898">
        <v>48</v>
      </c>
      <c r="C898">
        <v>28</v>
      </c>
      <c r="D898">
        <v>1</v>
      </c>
      <c r="E898">
        <f t="shared" si="13"/>
        <v>1</v>
      </c>
      <c r="F898">
        <v>23568.272000000001</v>
      </c>
      <c r="G898" t="s">
        <v>9</v>
      </c>
      <c r="H898" t="s">
        <v>8</v>
      </c>
      <c r="I898" t="s">
        <v>10</v>
      </c>
      <c r="J898">
        <f>_xlfn.XLOOKUP(C898,dim_BMI!$C$2:$C$7,dim_BMI!$A$2:$A$7,,1)</f>
        <v>3</v>
      </c>
      <c r="K898" t="str">
        <f>_xlfn.XLOOKUP(C898,dim_BMI!$C$2:$C$7,dim_BMI!$B$2:$B$7,,1)</f>
        <v>25.0 to 29.9 (Overweight)</v>
      </c>
    </row>
    <row r="899" spans="1:11" x14ac:dyDescent="0.25">
      <c r="A899" s="1">
        <v>84</v>
      </c>
      <c r="B899">
        <v>48</v>
      </c>
      <c r="C899">
        <v>41.23</v>
      </c>
      <c r="D899">
        <v>4</v>
      </c>
      <c r="E899">
        <f t="shared" ref="E899:E962" si="14">IF(H899="yes",1,0)</f>
        <v>0</v>
      </c>
      <c r="F899">
        <v>11033.661700000001</v>
      </c>
      <c r="G899" t="s">
        <v>13</v>
      </c>
      <c r="H899" t="s">
        <v>11</v>
      </c>
      <c r="I899" t="s">
        <v>7</v>
      </c>
      <c r="J899">
        <f>_xlfn.XLOOKUP(C899,dim_BMI!$C$2:$C$7,dim_BMI!$A$2:$A$7,,1)</f>
        <v>6</v>
      </c>
      <c r="K899" t="str">
        <f>_xlfn.XLOOKUP(C899,dim_BMI!$C$2:$C$7,dim_BMI!$B$2:$B$7,,1)</f>
        <v>40 or higher (Severe Obesity Class 3)</v>
      </c>
    </row>
    <row r="900" spans="1:11" x14ac:dyDescent="0.25">
      <c r="A900" s="1">
        <v>152</v>
      </c>
      <c r="B900">
        <v>48</v>
      </c>
      <c r="C900">
        <v>29.7</v>
      </c>
      <c r="D900">
        <v>0</v>
      </c>
      <c r="E900">
        <f t="shared" si="14"/>
        <v>0</v>
      </c>
      <c r="F900">
        <v>7789.6350000000002</v>
      </c>
      <c r="G900" t="s">
        <v>12</v>
      </c>
      <c r="H900" t="s">
        <v>11</v>
      </c>
      <c r="I900" t="s">
        <v>10</v>
      </c>
      <c r="J900">
        <f>_xlfn.XLOOKUP(C900,dim_BMI!$C$2:$C$7,dim_BMI!$A$2:$A$7,,1)</f>
        <v>3</v>
      </c>
      <c r="K900" t="str">
        <f>_xlfn.XLOOKUP(C900,dim_BMI!$C$2:$C$7,dim_BMI!$B$2:$B$7,,1)</f>
        <v>25.0 to 29.9 (Overweight)</v>
      </c>
    </row>
    <row r="901" spans="1:11" x14ac:dyDescent="0.25">
      <c r="A901" s="1">
        <v>157</v>
      </c>
      <c r="B901">
        <v>48</v>
      </c>
      <c r="C901">
        <v>24.42</v>
      </c>
      <c r="D901">
        <v>0</v>
      </c>
      <c r="E901">
        <f t="shared" si="14"/>
        <v>1</v>
      </c>
      <c r="F901">
        <v>21223.675800000001</v>
      </c>
      <c r="G901" t="s">
        <v>12</v>
      </c>
      <c r="H901" t="s">
        <v>8</v>
      </c>
      <c r="I901" t="s">
        <v>10</v>
      </c>
      <c r="J901">
        <f>_xlfn.XLOOKUP(C901,dim_BMI!$C$2:$C$7,dim_BMI!$A$2:$A$7,,1)</f>
        <v>2</v>
      </c>
      <c r="K901" t="str">
        <f>_xlfn.XLOOKUP(C901,dim_BMI!$C$2:$C$7,dim_BMI!$B$2:$B$7,,1)</f>
        <v>18.5 to 24.9 (Healthy Weight)</v>
      </c>
    </row>
    <row r="902" spans="1:11" x14ac:dyDescent="0.25">
      <c r="A902" s="1">
        <v>202</v>
      </c>
      <c r="B902">
        <v>48</v>
      </c>
      <c r="C902">
        <v>32.229999999999997</v>
      </c>
      <c r="D902">
        <v>1</v>
      </c>
      <c r="E902">
        <f t="shared" si="14"/>
        <v>0</v>
      </c>
      <c r="F902">
        <v>8871.1517000000003</v>
      </c>
      <c r="G902" t="s">
        <v>12</v>
      </c>
      <c r="H902" t="s">
        <v>11</v>
      </c>
      <c r="I902" t="s">
        <v>7</v>
      </c>
      <c r="J902">
        <f>_xlfn.XLOOKUP(C902,dim_BMI!$C$2:$C$7,dim_BMI!$A$2:$A$7,,1)</f>
        <v>4</v>
      </c>
      <c r="K902" t="str">
        <f>_xlfn.XLOOKUP(C902,dim_BMI!$C$2:$C$7,dim_BMI!$B$2:$B$7,,1)</f>
        <v>30.0 to 34.9 (Obesity Class 1)</v>
      </c>
    </row>
    <row r="903" spans="1:11" x14ac:dyDescent="0.25">
      <c r="A903" s="1">
        <v>300</v>
      </c>
      <c r="B903">
        <v>48</v>
      </c>
      <c r="C903">
        <v>28.88</v>
      </c>
      <c r="D903">
        <v>1</v>
      </c>
      <c r="E903">
        <f t="shared" si="14"/>
        <v>0</v>
      </c>
      <c r="F903">
        <v>9249.4951999999994</v>
      </c>
      <c r="G903" t="s">
        <v>13</v>
      </c>
      <c r="H903" t="s">
        <v>11</v>
      </c>
      <c r="I903" t="s">
        <v>7</v>
      </c>
      <c r="J903">
        <f>_xlfn.XLOOKUP(C903,dim_BMI!$C$2:$C$7,dim_BMI!$A$2:$A$7,,1)</f>
        <v>3</v>
      </c>
      <c r="K903" t="str">
        <f>_xlfn.XLOOKUP(C903,dim_BMI!$C$2:$C$7,dim_BMI!$B$2:$B$7,,1)</f>
        <v>25.0 to 29.9 (Overweight)</v>
      </c>
    </row>
    <row r="904" spans="1:11" x14ac:dyDescent="0.25">
      <c r="A904" s="1">
        <v>361</v>
      </c>
      <c r="B904">
        <v>48</v>
      </c>
      <c r="C904">
        <v>32.299999999999997</v>
      </c>
      <c r="D904">
        <v>2</v>
      </c>
      <c r="E904">
        <f t="shared" si="14"/>
        <v>0</v>
      </c>
      <c r="F904">
        <v>10043.249</v>
      </c>
      <c r="G904" t="s">
        <v>14</v>
      </c>
      <c r="H904" t="s">
        <v>11</v>
      </c>
      <c r="I904" t="s">
        <v>7</v>
      </c>
      <c r="J904">
        <f>_xlfn.XLOOKUP(C904,dim_BMI!$C$2:$C$7,dim_BMI!$A$2:$A$7,,1)</f>
        <v>4</v>
      </c>
      <c r="K904" t="str">
        <f>_xlfn.XLOOKUP(C904,dim_BMI!$C$2:$C$7,dim_BMI!$B$2:$B$7,,1)</f>
        <v>30.0 to 34.9 (Obesity Class 1)</v>
      </c>
    </row>
    <row r="905" spans="1:11" x14ac:dyDescent="0.25">
      <c r="A905" s="1">
        <v>391</v>
      </c>
      <c r="B905">
        <v>48</v>
      </c>
      <c r="C905">
        <v>35.625</v>
      </c>
      <c r="D905">
        <v>4</v>
      </c>
      <c r="E905">
        <f t="shared" si="14"/>
        <v>0</v>
      </c>
      <c r="F905">
        <v>10736.87075</v>
      </c>
      <c r="G905" t="s">
        <v>14</v>
      </c>
      <c r="H905" t="s">
        <v>11</v>
      </c>
      <c r="I905" t="s">
        <v>10</v>
      </c>
      <c r="J905">
        <f>_xlfn.XLOOKUP(C905,dim_BMI!$C$2:$C$7,dim_BMI!$A$2:$A$7,,1)</f>
        <v>5</v>
      </c>
      <c r="K905" t="str">
        <f>_xlfn.XLOOKUP(C905,dim_BMI!$C$2:$C$7,dim_BMI!$B$2:$B$7,,1)</f>
        <v>35 to 39.9 (Obesity Class 2)</v>
      </c>
    </row>
    <row r="906" spans="1:11" x14ac:dyDescent="0.25">
      <c r="A906" s="1">
        <v>393</v>
      </c>
      <c r="B906">
        <v>48</v>
      </c>
      <c r="C906">
        <v>31.445</v>
      </c>
      <c r="D906">
        <v>1</v>
      </c>
      <c r="E906">
        <f t="shared" si="14"/>
        <v>0</v>
      </c>
      <c r="F906">
        <v>8964.0605500000001</v>
      </c>
      <c r="G906" t="s">
        <v>14</v>
      </c>
      <c r="H906" t="s">
        <v>11</v>
      </c>
      <c r="I906" t="s">
        <v>10</v>
      </c>
      <c r="J906">
        <f>_xlfn.XLOOKUP(C906,dim_BMI!$C$2:$C$7,dim_BMI!$A$2:$A$7,,1)</f>
        <v>4</v>
      </c>
      <c r="K906" t="str">
        <f>_xlfn.XLOOKUP(C906,dim_BMI!$C$2:$C$7,dim_BMI!$B$2:$B$7,,1)</f>
        <v>30.0 to 34.9 (Obesity Class 1)</v>
      </c>
    </row>
    <row r="907" spans="1:11" x14ac:dyDescent="0.25">
      <c r="A907" s="1">
        <v>425</v>
      </c>
      <c r="B907">
        <v>48</v>
      </c>
      <c r="C907">
        <v>30.2</v>
      </c>
      <c r="D907">
        <v>2</v>
      </c>
      <c r="E907">
        <f t="shared" si="14"/>
        <v>0</v>
      </c>
      <c r="F907">
        <v>8968.33</v>
      </c>
      <c r="G907" t="s">
        <v>9</v>
      </c>
      <c r="H907" t="s">
        <v>11</v>
      </c>
      <c r="I907" t="s">
        <v>10</v>
      </c>
      <c r="J907">
        <f>_xlfn.XLOOKUP(C907,dim_BMI!$C$2:$C$7,dim_BMI!$A$2:$A$7,,1)</f>
        <v>4</v>
      </c>
      <c r="K907" t="str">
        <f>_xlfn.XLOOKUP(C907,dim_BMI!$C$2:$C$7,dim_BMI!$B$2:$B$7,,1)</f>
        <v>30.0 to 34.9 (Obesity Class 1)</v>
      </c>
    </row>
    <row r="908" spans="1:11" x14ac:dyDescent="0.25">
      <c r="A908" s="1">
        <v>485</v>
      </c>
      <c r="B908">
        <v>48</v>
      </c>
      <c r="C908">
        <v>34.299999999999997</v>
      </c>
      <c r="D908">
        <v>3</v>
      </c>
      <c r="E908">
        <f t="shared" si="14"/>
        <v>0</v>
      </c>
      <c r="F908">
        <v>9563.0290000000005</v>
      </c>
      <c r="G908" t="s">
        <v>9</v>
      </c>
      <c r="H908" t="s">
        <v>11</v>
      </c>
      <c r="I908" t="s">
        <v>10</v>
      </c>
      <c r="J908">
        <f>_xlfn.XLOOKUP(C908,dim_BMI!$C$2:$C$7,dim_BMI!$A$2:$A$7,,1)</f>
        <v>4</v>
      </c>
      <c r="K908" t="str">
        <f>_xlfn.XLOOKUP(C908,dim_BMI!$C$2:$C$7,dim_BMI!$B$2:$B$7,,1)</f>
        <v>30.0 to 34.9 (Obesity Class 1)</v>
      </c>
    </row>
    <row r="909" spans="1:11" x14ac:dyDescent="0.25">
      <c r="A909" s="1">
        <v>570</v>
      </c>
      <c r="B909">
        <v>48</v>
      </c>
      <c r="C909">
        <v>40.564999999999998</v>
      </c>
      <c r="D909">
        <v>2</v>
      </c>
      <c r="E909">
        <f t="shared" si="14"/>
        <v>1</v>
      </c>
      <c r="F909">
        <v>45702.022349999999</v>
      </c>
      <c r="G909" t="s">
        <v>13</v>
      </c>
      <c r="H909" t="s">
        <v>8</v>
      </c>
      <c r="I909" t="s">
        <v>10</v>
      </c>
      <c r="J909">
        <f>_xlfn.XLOOKUP(C909,dim_BMI!$C$2:$C$7,dim_BMI!$A$2:$A$7,,1)</f>
        <v>6</v>
      </c>
      <c r="K909" t="str">
        <f>_xlfn.XLOOKUP(C909,dim_BMI!$C$2:$C$7,dim_BMI!$B$2:$B$7,,1)</f>
        <v>40 or higher (Severe Obesity Class 3)</v>
      </c>
    </row>
    <row r="910" spans="1:11" x14ac:dyDescent="0.25">
      <c r="A910" s="1">
        <v>646</v>
      </c>
      <c r="B910">
        <v>48</v>
      </c>
      <c r="C910">
        <v>30.78</v>
      </c>
      <c r="D910">
        <v>3</v>
      </c>
      <c r="E910">
        <f t="shared" si="14"/>
        <v>0</v>
      </c>
      <c r="F910">
        <v>10141.136200000001</v>
      </c>
      <c r="G910" t="s">
        <v>14</v>
      </c>
      <c r="H910" t="s">
        <v>11</v>
      </c>
      <c r="I910" t="s">
        <v>10</v>
      </c>
      <c r="J910">
        <f>_xlfn.XLOOKUP(C910,dim_BMI!$C$2:$C$7,dim_BMI!$A$2:$A$7,,1)</f>
        <v>4</v>
      </c>
      <c r="K910" t="str">
        <f>_xlfn.XLOOKUP(C910,dim_BMI!$C$2:$C$7,dim_BMI!$B$2:$B$7,,1)</f>
        <v>30.0 to 34.9 (Obesity Class 1)</v>
      </c>
    </row>
    <row r="911" spans="1:11" x14ac:dyDescent="0.25">
      <c r="A911" s="1">
        <v>653</v>
      </c>
      <c r="B911">
        <v>48</v>
      </c>
      <c r="C911">
        <v>31.13</v>
      </c>
      <c r="D911">
        <v>0</v>
      </c>
      <c r="E911">
        <f t="shared" si="14"/>
        <v>0</v>
      </c>
      <c r="F911">
        <v>8280.6226999999999</v>
      </c>
      <c r="G911" t="s">
        <v>12</v>
      </c>
      <c r="H911" t="s">
        <v>11</v>
      </c>
      <c r="I911" t="s">
        <v>7</v>
      </c>
      <c r="J911">
        <f>_xlfn.XLOOKUP(C911,dim_BMI!$C$2:$C$7,dim_BMI!$A$2:$A$7,,1)</f>
        <v>4</v>
      </c>
      <c r="K911" t="str">
        <f>_xlfn.XLOOKUP(C911,dim_BMI!$C$2:$C$7,dim_BMI!$B$2:$B$7,,1)</f>
        <v>30.0 to 34.9 (Obesity Class 1)</v>
      </c>
    </row>
    <row r="912" spans="1:11" x14ac:dyDescent="0.25">
      <c r="A912" s="1">
        <v>659</v>
      </c>
      <c r="B912">
        <v>48</v>
      </c>
      <c r="C912">
        <v>35.909999999999997</v>
      </c>
      <c r="D912">
        <v>1</v>
      </c>
      <c r="E912">
        <f t="shared" si="14"/>
        <v>0</v>
      </c>
      <c r="F912">
        <v>26392.260289999998</v>
      </c>
      <c r="G912" t="s">
        <v>14</v>
      </c>
      <c r="H912" t="s">
        <v>11</v>
      </c>
      <c r="I912" t="s">
        <v>7</v>
      </c>
      <c r="J912">
        <f>_xlfn.XLOOKUP(C912,dim_BMI!$C$2:$C$7,dim_BMI!$A$2:$A$7,,1)</f>
        <v>5</v>
      </c>
      <c r="K912" t="str">
        <f>_xlfn.XLOOKUP(C912,dim_BMI!$C$2:$C$7,dim_BMI!$B$2:$B$7,,1)</f>
        <v>35 to 39.9 (Obesity Class 2)</v>
      </c>
    </row>
    <row r="913" spans="1:11" x14ac:dyDescent="0.25">
      <c r="A913" s="1">
        <v>734</v>
      </c>
      <c r="B913">
        <v>48</v>
      </c>
      <c r="C913">
        <v>27.265000000000001</v>
      </c>
      <c r="D913">
        <v>1</v>
      </c>
      <c r="E913">
        <f t="shared" si="14"/>
        <v>0</v>
      </c>
      <c r="F913">
        <v>9447.2503500000003</v>
      </c>
      <c r="G913" t="s">
        <v>14</v>
      </c>
      <c r="H913" t="s">
        <v>11</v>
      </c>
      <c r="I913" t="s">
        <v>7</v>
      </c>
      <c r="J913">
        <f>_xlfn.XLOOKUP(C913,dim_BMI!$C$2:$C$7,dim_BMI!$A$2:$A$7,,1)</f>
        <v>3</v>
      </c>
      <c r="K913" t="str">
        <f>_xlfn.XLOOKUP(C913,dim_BMI!$C$2:$C$7,dim_BMI!$B$2:$B$7,,1)</f>
        <v>25.0 to 29.9 (Overweight)</v>
      </c>
    </row>
    <row r="914" spans="1:11" x14ac:dyDescent="0.25">
      <c r="A914" s="1">
        <v>857</v>
      </c>
      <c r="B914">
        <v>48</v>
      </c>
      <c r="C914">
        <v>33.11</v>
      </c>
      <c r="D914">
        <v>0</v>
      </c>
      <c r="E914">
        <f t="shared" si="14"/>
        <v>1</v>
      </c>
      <c r="F914">
        <v>40974.164900000003</v>
      </c>
      <c r="G914" t="s">
        <v>12</v>
      </c>
      <c r="H914" t="s">
        <v>8</v>
      </c>
      <c r="I914" t="s">
        <v>7</v>
      </c>
      <c r="J914">
        <f>_xlfn.XLOOKUP(C914,dim_BMI!$C$2:$C$7,dim_BMI!$A$2:$A$7,,1)</f>
        <v>4</v>
      </c>
      <c r="K914" t="str">
        <f>_xlfn.XLOOKUP(C914,dim_BMI!$C$2:$C$7,dim_BMI!$B$2:$B$7,,1)</f>
        <v>30.0 to 34.9 (Obesity Class 1)</v>
      </c>
    </row>
    <row r="915" spans="1:11" x14ac:dyDescent="0.25">
      <c r="A915" s="1">
        <v>960</v>
      </c>
      <c r="B915">
        <v>48</v>
      </c>
      <c r="C915">
        <v>36.67</v>
      </c>
      <c r="D915">
        <v>1</v>
      </c>
      <c r="E915">
        <f t="shared" si="14"/>
        <v>0</v>
      </c>
      <c r="F915">
        <v>28468.919010000001</v>
      </c>
      <c r="G915" t="s">
        <v>13</v>
      </c>
      <c r="H915" t="s">
        <v>11</v>
      </c>
      <c r="I915" t="s">
        <v>10</v>
      </c>
      <c r="J915">
        <f>_xlfn.XLOOKUP(C915,dim_BMI!$C$2:$C$7,dim_BMI!$A$2:$A$7,,1)</f>
        <v>5</v>
      </c>
      <c r="K915" t="str">
        <f>_xlfn.XLOOKUP(C915,dim_BMI!$C$2:$C$7,dim_BMI!$B$2:$B$7,,1)</f>
        <v>35 to 39.9 (Obesity Class 2)</v>
      </c>
    </row>
    <row r="916" spans="1:11" x14ac:dyDescent="0.25">
      <c r="A916" s="1">
        <v>977</v>
      </c>
      <c r="B916">
        <v>48</v>
      </c>
      <c r="C916">
        <v>40.15</v>
      </c>
      <c r="D916">
        <v>0</v>
      </c>
      <c r="E916">
        <f t="shared" si="14"/>
        <v>0</v>
      </c>
      <c r="F916">
        <v>7804.1605</v>
      </c>
      <c r="G916" t="s">
        <v>12</v>
      </c>
      <c r="H916" t="s">
        <v>11</v>
      </c>
      <c r="I916" t="s">
        <v>10</v>
      </c>
      <c r="J916">
        <f>_xlfn.XLOOKUP(C916,dim_BMI!$C$2:$C$7,dim_BMI!$A$2:$A$7,,1)</f>
        <v>6</v>
      </c>
      <c r="K916" t="str">
        <f>_xlfn.XLOOKUP(C916,dim_BMI!$C$2:$C$7,dim_BMI!$B$2:$B$7,,1)</f>
        <v>40 or higher (Severe Obesity Class 3)</v>
      </c>
    </row>
    <row r="917" spans="1:11" x14ac:dyDescent="0.25">
      <c r="A917" s="1">
        <v>1004</v>
      </c>
      <c r="B917">
        <v>48</v>
      </c>
      <c r="C917">
        <v>29.6</v>
      </c>
      <c r="D917">
        <v>0</v>
      </c>
      <c r="E917">
        <f t="shared" si="14"/>
        <v>0</v>
      </c>
      <c r="F917">
        <v>21232.182260000001</v>
      </c>
      <c r="G917" t="s">
        <v>9</v>
      </c>
      <c r="H917" t="s">
        <v>11</v>
      </c>
      <c r="I917" t="s">
        <v>10</v>
      </c>
      <c r="J917">
        <f>_xlfn.XLOOKUP(C917,dim_BMI!$C$2:$C$7,dim_BMI!$A$2:$A$7,,1)</f>
        <v>3</v>
      </c>
      <c r="K917" t="str">
        <f>_xlfn.XLOOKUP(C917,dim_BMI!$C$2:$C$7,dim_BMI!$B$2:$B$7,,1)</f>
        <v>25.0 to 29.9 (Overweight)</v>
      </c>
    </row>
    <row r="918" spans="1:11" x14ac:dyDescent="0.25">
      <c r="A918" s="1">
        <v>1011</v>
      </c>
      <c r="B918">
        <v>48</v>
      </c>
      <c r="C918">
        <v>22.8</v>
      </c>
      <c r="D918">
        <v>0</v>
      </c>
      <c r="E918">
        <f t="shared" si="14"/>
        <v>0</v>
      </c>
      <c r="F918">
        <v>8269.0439999999999</v>
      </c>
      <c r="G918" t="s">
        <v>9</v>
      </c>
      <c r="H918" t="s">
        <v>11</v>
      </c>
      <c r="I918" t="s">
        <v>7</v>
      </c>
      <c r="J918">
        <f>_xlfn.XLOOKUP(C918,dim_BMI!$C$2:$C$7,dim_BMI!$A$2:$A$7,,1)</f>
        <v>2</v>
      </c>
      <c r="K918" t="str">
        <f>_xlfn.XLOOKUP(C918,dim_BMI!$C$2:$C$7,dim_BMI!$B$2:$B$7,,1)</f>
        <v>18.5 to 24.9 (Healthy Weight)</v>
      </c>
    </row>
    <row r="919" spans="1:11" x14ac:dyDescent="0.25">
      <c r="A919" s="1">
        <v>1014</v>
      </c>
      <c r="B919">
        <v>48</v>
      </c>
      <c r="C919">
        <v>32.299999999999997</v>
      </c>
      <c r="D919">
        <v>1</v>
      </c>
      <c r="E919">
        <f t="shared" si="14"/>
        <v>0</v>
      </c>
      <c r="F919">
        <v>8765.2489999999998</v>
      </c>
      <c r="G919" t="s">
        <v>13</v>
      </c>
      <c r="H919" t="s">
        <v>11</v>
      </c>
      <c r="I919" t="s">
        <v>10</v>
      </c>
      <c r="J919">
        <f>_xlfn.XLOOKUP(C919,dim_BMI!$C$2:$C$7,dim_BMI!$A$2:$A$7,,1)</f>
        <v>4</v>
      </c>
      <c r="K919" t="str">
        <f>_xlfn.XLOOKUP(C919,dim_BMI!$C$2:$C$7,dim_BMI!$B$2:$B$7,,1)</f>
        <v>30.0 to 34.9 (Obesity Class 1)</v>
      </c>
    </row>
    <row r="920" spans="1:11" x14ac:dyDescent="0.25">
      <c r="A920" s="1">
        <v>1057</v>
      </c>
      <c r="B920">
        <v>48</v>
      </c>
      <c r="C920">
        <v>28.9</v>
      </c>
      <c r="D920">
        <v>0</v>
      </c>
      <c r="E920">
        <f t="shared" si="14"/>
        <v>0</v>
      </c>
      <c r="F920">
        <v>8277.5229999999992</v>
      </c>
      <c r="G920" t="s">
        <v>9</v>
      </c>
      <c r="H920" t="s">
        <v>11</v>
      </c>
      <c r="I920" t="s">
        <v>7</v>
      </c>
      <c r="J920">
        <f>_xlfn.XLOOKUP(C920,dim_BMI!$C$2:$C$7,dim_BMI!$A$2:$A$7,,1)</f>
        <v>3</v>
      </c>
      <c r="K920" t="str">
        <f>_xlfn.XLOOKUP(C920,dim_BMI!$C$2:$C$7,dim_BMI!$B$2:$B$7,,1)</f>
        <v>25.0 to 29.9 (Overweight)</v>
      </c>
    </row>
    <row r="921" spans="1:11" x14ac:dyDescent="0.25">
      <c r="A921" s="1">
        <v>1067</v>
      </c>
      <c r="B921">
        <v>48</v>
      </c>
      <c r="C921">
        <v>37.29</v>
      </c>
      <c r="D921">
        <v>2</v>
      </c>
      <c r="E921">
        <f t="shared" si="14"/>
        <v>0</v>
      </c>
      <c r="F921">
        <v>8978.1851000000006</v>
      </c>
      <c r="G921" t="s">
        <v>12</v>
      </c>
      <c r="H921" t="s">
        <v>11</v>
      </c>
      <c r="I921" t="s">
        <v>10</v>
      </c>
      <c r="J921">
        <f>_xlfn.XLOOKUP(C921,dim_BMI!$C$2:$C$7,dim_BMI!$A$2:$A$7,,1)</f>
        <v>5</v>
      </c>
      <c r="K921" t="str">
        <f>_xlfn.XLOOKUP(C921,dim_BMI!$C$2:$C$7,dim_BMI!$B$2:$B$7,,1)</f>
        <v>35 to 39.9 (Obesity Class 2)</v>
      </c>
    </row>
    <row r="922" spans="1:11" x14ac:dyDescent="0.25">
      <c r="A922" s="1">
        <v>1113</v>
      </c>
      <c r="B922">
        <v>48</v>
      </c>
      <c r="C922">
        <v>25.85</v>
      </c>
      <c r="D922">
        <v>3</v>
      </c>
      <c r="E922">
        <f t="shared" si="14"/>
        <v>1</v>
      </c>
      <c r="F922">
        <v>24180.933499999999</v>
      </c>
      <c r="G922" t="s">
        <v>12</v>
      </c>
      <c r="H922" t="s">
        <v>8</v>
      </c>
      <c r="I922" t="s">
        <v>7</v>
      </c>
      <c r="J922">
        <f>_xlfn.XLOOKUP(C922,dim_BMI!$C$2:$C$7,dim_BMI!$A$2:$A$7,,1)</f>
        <v>3</v>
      </c>
      <c r="K922" t="str">
        <f>_xlfn.XLOOKUP(C922,dim_BMI!$C$2:$C$7,dim_BMI!$B$2:$B$7,,1)</f>
        <v>25.0 to 29.9 (Overweight)</v>
      </c>
    </row>
    <row r="923" spans="1:11" x14ac:dyDescent="0.25">
      <c r="A923" s="1">
        <v>1155</v>
      </c>
      <c r="B923">
        <v>48</v>
      </c>
      <c r="C923">
        <v>27.93</v>
      </c>
      <c r="D923">
        <v>4</v>
      </c>
      <c r="E923">
        <f t="shared" si="14"/>
        <v>0</v>
      </c>
      <c r="F923">
        <v>11015.1747</v>
      </c>
      <c r="G923" t="s">
        <v>13</v>
      </c>
      <c r="H923" t="s">
        <v>11</v>
      </c>
      <c r="I923" t="s">
        <v>7</v>
      </c>
      <c r="J923">
        <f>_xlfn.XLOOKUP(C923,dim_BMI!$C$2:$C$7,dim_BMI!$A$2:$A$7,,1)</f>
        <v>3</v>
      </c>
      <c r="K923" t="str">
        <f>_xlfn.XLOOKUP(C923,dim_BMI!$C$2:$C$7,dim_BMI!$B$2:$B$7,,1)</f>
        <v>25.0 to 29.9 (Overweight)</v>
      </c>
    </row>
    <row r="924" spans="1:11" x14ac:dyDescent="0.25">
      <c r="A924" s="1">
        <v>1184</v>
      </c>
      <c r="B924">
        <v>48</v>
      </c>
      <c r="C924">
        <v>27.36</v>
      </c>
      <c r="D924">
        <v>1</v>
      </c>
      <c r="E924">
        <f t="shared" si="14"/>
        <v>0</v>
      </c>
      <c r="F924">
        <v>9447.3824000000004</v>
      </c>
      <c r="G924" t="s">
        <v>14</v>
      </c>
      <c r="H924" t="s">
        <v>11</v>
      </c>
      <c r="I924" t="s">
        <v>7</v>
      </c>
      <c r="J924">
        <f>_xlfn.XLOOKUP(C924,dim_BMI!$C$2:$C$7,dim_BMI!$A$2:$A$7,,1)</f>
        <v>3</v>
      </c>
      <c r="K924" t="str">
        <f>_xlfn.XLOOKUP(C924,dim_BMI!$C$2:$C$7,dim_BMI!$B$2:$B$7,,1)</f>
        <v>25.0 to 29.9 (Overweight)</v>
      </c>
    </row>
    <row r="925" spans="1:11" x14ac:dyDescent="0.25">
      <c r="A925" s="1">
        <v>1194</v>
      </c>
      <c r="B925">
        <v>48</v>
      </c>
      <c r="C925">
        <v>36.575000000000003</v>
      </c>
      <c r="D925">
        <v>0</v>
      </c>
      <c r="E925">
        <f t="shared" si="14"/>
        <v>0</v>
      </c>
      <c r="F925">
        <v>8671.1912499999999</v>
      </c>
      <c r="G925" t="s">
        <v>13</v>
      </c>
      <c r="H925" t="s">
        <v>11</v>
      </c>
      <c r="I925" t="s">
        <v>7</v>
      </c>
      <c r="J925">
        <f>_xlfn.XLOOKUP(C925,dim_BMI!$C$2:$C$7,dim_BMI!$A$2:$A$7,,1)</f>
        <v>5</v>
      </c>
      <c r="K925" t="str">
        <f>_xlfn.XLOOKUP(C925,dim_BMI!$C$2:$C$7,dim_BMI!$B$2:$B$7,,1)</f>
        <v>35 to 39.9 (Obesity Class 2)</v>
      </c>
    </row>
    <row r="926" spans="1:11" x14ac:dyDescent="0.25">
      <c r="A926" s="1">
        <v>1281</v>
      </c>
      <c r="B926">
        <v>48</v>
      </c>
      <c r="C926">
        <v>33.33</v>
      </c>
      <c r="D926">
        <v>0</v>
      </c>
      <c r="E926">
        <f t="shared" si="14"/>
        <v>0</v>
      </c>
      <c r="F926">
        <v>8283.6807000000008</v>
      </c>
      <c r="G926" t="s">
        <v>12</v>
      </c>
      <c r="H926" t="s">
        <v>11</v>
      </c>
      <c r="I926" t="s">
        <v>7</v>
      </c>
      <c r="J926">
        <f>_xlfn.XLOOKUP(C926,dim_BMI!$C$2:$C$7,dim_BMI!$A$2:$A$7,,1)</f>
        <v>4</v>
      </c>
      <c r="K926" t="str">
        <f>_xlfn.XLOOKUP(C926,dim_BMI!$C$2:$C$7,dim_BMI!$B$2:$B$7,,1)</f>
        <v>30.0 to 34.9 (Obesity Class 1)</v>
      </c>
    </row>
    <row r="927" spans="1:11" x14ac:dyDescent="0.25">
      <c r="A927" s="1">
        <v>119</v>
      </c>
      <c r="B927">
        <v>49</v>
      </c>
      <c r="C927">
        <v>27.17</v>
      </c>
      <c r="D927">
        <v>0</v>
      </c>
      <c r="E927">
        <f t="shared" si="14"/>
        <v>0</v>
      </c>
      <c r="F927">
        <v>8601.3292999999994</v>
      </c>
      <c r="G927" t="s">
        <v>12</v>
      </c>
      <c r="H927" t="s">
        <v>11</v>
      </c>
      <c r="I927" t="s">
        <v>7</v>
      </c>
      <c r="J927">
        <f>_xlfn.XLOOKUP(C927,dim_BMI!$C$2:$C$7,dim_BMI!$A$2:$A$7,,1)</f>
        <v>3</v>
      </c>
      <c r="K927" t="str">
        <f>_xlfn.XLOOKUP(C927,dim_BMI!$C$2:$C$7,dim_BMI!$B$2:$B$7,,1)</f>
        <v>25.0 to 29.9 (Overweight)</v>
      </c>
    </row>
    <row r="928" spans="1:11" x14ac:dyDescent="0.25">
      <c r="A928" s="1">
        <v>172</v>
      </c>
      <c r="B928">
        <v>49</v>
      </c>
      <c r="C928">
        <v>30.3</v>
      </c>
      <c r="D928">
        <v>0</v>
      </c>
      <c r="E928">
        <f t="shared" si="14"/>
        <v>0</v>
      </c>
      <c r="F928">
        <v>8116.68</v>
      </c>
      <c r="G928" t="s">
        <v>9</v>
      </c>
      <c r="H928" t="s">
        <v>11</v>
      </c>
      <c r="I928" t="s">
        <v>10</v>
      </c>
      <c r="J928">
        <f>_xlfn.XLOOKUP(C928,dim_BMI!$C$2:$C$7,dim_BMI!$A$2:$A$7,,1)</f>
        <v>4</v>
      </c>
      <c r="K928" t="str">
        <f>_xlfn.XLOOKUP(C928,dim_BMI!$C$2:$C$7,dim_BMI!$B$2:$B$7,,1)</f>
        <v>30.0 to 34.9 (Obesity Class 1)</v>
      </c>
    </row>
    <row r="929" spans="1:11" x14ac:dyDescent="0.25">
      <c r="A929" s="1">
        <v>270</v>
      </c>
      <c r="B929">
        <v>49</v>
      </c>
      <c r="C929">
        <v>25.84</v>
      </c>
      <c r="D929">
        <v>1</v>
      </c>
      <c r="E929">
        <f t="shared" si="14"/>
        <v>0</v>
      </c>
      <c r="F929">
        <v>9282.4806000000008</v>
      </c>
      <c r="G929" t="s">
        <v>14</v>
      </c>
      <c r="H929" t="s">
        <v>11</v>
      </c>
      <c r="I929" t="s">
        <v>10</v>
      </c>
      <c r="J929">
        <f>_xlfn.XLOOKUP(C929,dim_BMI!$C$2:$C$7,dim_BMI!$A$2:$A$7,,1)</f>
        <v>3</v>
      </c>
      <c r="K929" t="str">
        <f>_xlfn.XLOOKUP(C929,dim_BMI!$C$2:$C$7,dim_BMI!$B$2:$B$7,,1)</f>
        <v>25.0 to 29.9 (Overweight)</v>
      </c>
    </row>
    <row r="930" spans="1:11" x14ac:dyDescent="0.25">
      <c r="A930" s="1">
        <v>314</v>
      </c>
      <c r="B930">
        <v>49</v>
      </c>
      <c r="C930">
        <v>35.86</v>
      </c>
      <c r="D930">
        <v>0</v>
      </c>
      <c r="E930">
        <f t="shared" si="14"/>
        <v>0</v>
      </c>
      <c r="F930">
        <v>8124.4084000000003</v>
      </c>
      <c r="G930" t="s">
        <v>12</v>
      </c>
      <c r="H930" t="s">
        <v>11</v>
      </c>
      <c r="I930" t="s">
        <v>10</v>
      </c>
      <c r="J930">
        <f>_xlfn.XLOOKUP(C930,dim_BMI!$C$2:$C$7,dim_BMI!$A$2:$A$7,,1)</f>
        <v>5</v>
      </c>
      <c r="K930" t="str">
        <f>_xlfn.XLOOKUP(C930,dim_BMI!$C$2:$C$7,dim_BMI!$B$2:$B$7,,1)</f>
        <v>35 to 39.9 (Obesity Class 2)</v>
      </c>
    </row>
    <row r="931" spans="1:11" x14ac:dyDescent="0.25">
      <c r="A931" s="1">
        <v>345</v>
      </c>
      <c r="B931">
        <v>49</v>
      </c>
      <c r="C931">
        <v>41.47</v>
      </c>
      <c r="D931">
        <v>4</v>
      </c>
      <c r="E931">
        <f t="shared" si="14"/>
        <v>0</v>
      </c>
      <c r="F931">
        <v>10977.2063</v>
      </c>
      <c r="G931" t="s">
        <v>12</v>
      </c>
      <c r="H931" t="s">
        <v>11</v>
      </c>
      <c r="I931" t="s">
        <v>7</v>
      </c>
      <c r="J931">
        <f>_xlfn.XLOOKUP(C931,dim_BMI!$C$2:$C$7,dim_BMI!$A$2:$A$7,,1)</f>
        <v>6</v>
      </c>
      <c r="K931" t="str">
        <f>_xlfn.XLOOKUP(C931,dim_BMI!$C$2:$C$7,dim_BMI!$B$2:$B$7,,1)</f>
        <v>40 or higher (Severe Obesity Class 3)</v>
      </c>
    </row>
    <row r="932" spans="1:11" x14ac:dyDescent="0.25">
      <c r="A932" s="1">
        <v>366</v>
      </c>
      <c r="B932">
        <v>49</v>
      </c>
      <c r="C932">
        <v>30.78</v>
      </c>
      <c r="D932">
        <v>1</v>
      </c>
      <c r="E932">
        <f t="shared" si="14"/>
        <v>0</v>
      </c>
      <c r="F932">
        <v>9778.3472000000002</v>
      </c>
      <c r="G932" t="s">
        <v>14</v>
      </c>
      <c r="H932" t="s">
        <v>11</v>
      </c>
      <c r="I932" t="s">
        <v>7</v>
      </c>
      <c r="J932">
        <f>_xlfn.XLOOKUP(C932,dim_BMI!$C$2:$C$7,dim_BMI!$A$2:$A$7,,1)</f>
        <v>4</v>
      </c>
      <c r="K932" t="str">
        <f>_xlfn.XLOOKUP(C932,dim_BMI!$C$2:$C$7,dim_BMI!$B$2:$B$7,,1)</f>
        <v>30.0 to 34.9 (Obesity Class 1)</v>
      </c>
    </row>
    <row r="933" spans="1:11" x14ac:dyDescent="0.25">
      <c r="A933" s="1">
        <v>394</v>
      </c>
      <c r="B933">
        <v>49</v>
      </c>
      <c r="C933">
        <v>31.35</v>
      </c>
      <c r="D933">
        <v>1</v>
      </c>
      <c r="E933">
        <f t="shared" si="14"/>
        <v>0</v>
      </c>
      <c r="F933">
        <v>9290.1394999999993</v>
      </c>
      <c r="G933" t="s">
        <v>14</v>
      </c>
      <c r="H933" t="s">
        <v>11</v>
      </c>
      <c r="I933" t="s">
        <v>10</v>
      </c>
      <c r="J933">
        <f>_xlfn.XLOOKUP(C933,dim_BMI!$C$2:$C$7,dim_BMI!$A$2:$A$7,,1)</f>
        <v>4</v>
      </c>
      <c r="K933" t="str">
        <f>_xlfn.XLOOKUP(C933,dim_BMI!$C$2:$C$7,dim_BMI!$B$2:$B$7,,1)</f>
        <v>30.0 to 34.9 (Obesity Class 1)</v>
      </c>
    </row>
    <row r="934" spans="1:11" x14ac:dyDescent="0.25">
      <c r="A934" s="1">
        <v>404</v>
      </c>
      <c r="B934">
        <v>49</v>
      </c>
      <c r="C934">
        <v>32.299999999999997</v>
      </c>
      <c r="D934">
        <v>3</v>
      </c>
      <c r="E934">
        <f t="shared" si="14"/>
        <v>0</v>
      </c>
      <c r="F934">
        <v>10269.459999999999</v>
      </c>
      <c r="G934" t="s">
        <v>13</v>
      </c>
      <c r="H934" t="s">
        <v>11</v>
      </c>
      <c r="I934" t="s">
        <v>10</v>
      </c>
      <c r="J934">
        <f>_xlfn.XLOOKUP(C934,dim_BMI!$C$2:$C$7,dim_BMI!$A$2:$A$7,,1)</f>
        <v>4</v>
      </c>
      <c r="K934" t="str">
        <f>_xlfn.XLOOKUP(C934,dim_BMI!$C$2:$C$7,dim_BMI!$B$2:$B$7,,1)</f>
        <v>30.0 to 34.9 (Obesity Class 1)</v>
      </c>
    </row>
    <row r="935" spans="1:11" x14ac:dyDescent="0.25">
      <c r="A935" s="1">
        <v>461</v>
      </c>
      <c r="B935">
        <v>49</v>
      </c>
      <c r="C935">
        <v>36.630000000000003</v>
      </c>
      <c r="D935">
        <v>3</v>
      </c>
      <c r="E935">
        <f t="shared" si="14"/>
        <v>0</v>
      </c>
      <c r="F935">
        <v>10381.4787</v>
      </c>
      <c r="G935" t="s">
        <v>12</v>
      </c>
      <c r="H935" t="s">
        <v>11</v>
      </c>
      <c r="I935" t="s">
        <v>7</v>
      </c>
      <c r="J935">
        <f>_xlfn.XLOOKUP(C935,dim_BMI!$C$2:$C$7,dim_BMI!$A$2:$A$7,,1)</f>
        <v>5</v>
      </c>
      <c r="K935" t="str">
        <f>_xlfn.XLOOKUP(C935,dim_BMI!$C$2:$C$7,dim_BMI!$B$2:$B$7,,1)</f>
        <v>35 to 39.9 (Obesity Class 2)</v>
      </c>
    </row>
    <row r="936" spans="1:11" x14ac:dyDescent="0.25">
      <c r="A936" s="1">
        <v>482</v>
      </c>
      <c r="B936">
        <v>49</v>
      </c>
      <c r="C936">
        <v>37.51</v>
      </c>
      <c r="D936">
        <v>2</v>
      </c>
      <c r="E936">
        <f t="shared" si="14"/>
        <v>0</v>
      </c>
      <c r="F936">
        <v>9304.7019</v>
      </c>
      <c r="G936" t="s">
        <v>12</v>
      </c>
      <c r="H936" t="s">
        <v>11</v>
      </c>
      <c r="I936" t="s">
        <v>10</v>
      </c>
      <c r="J936">
        <f>_xlfn.XLOOKUP(C936,dim_BMI!$C$2:$C$7,dim_BMI!$A$2:$A$7,,1)</f>
        <v>5</v>
      </c>
      <c r="K936" t="str">
        <f>_xlfn.XLOOKUP(C936,dim_BMI!$C$2:$C$7,dim_BMI!$B$2:$B$7,,1)</f>
        <v>35 to 39.9 (Obesity Class 2)</v>
      </c>
    </row>
    <row r="937" spans="1:11" x14ac:dyDescent="0.25">
      <c r="A937" s="1">
        <v>546</v>
      </c>
      <c r="B937">
        <v>49</v>
      </c>
      <c r="C937">
        <v>25.84</v>
      </c>
      <c r="D937">
        <v>2</v>
      </c>
      <c r="E937">
        <f t="shared" si="14"/>
        <v>1</v>
      </c>
      <c r="F937">
        <v>23807.240600000001</v>
      </c>
      <c r="G937" t="s">
        <v>13</v>
      </c>
      <c r="H937" t="s">
        <v>8</v>
      </c>
      <c r="I937" t="s">
        <v>10</v>
      </c>
      <c r="J937">
        <f>_xlfn.XLOOKUP(C937,dim_BMI!$C$2:$C$7,dim_BMI!$A$2:$A$7,,1)</f>
        <v>3</v>
      </c>
      <c r="K937" t="str">
        <f>_xlfn.XLOOKUP(C937,dim_BMI!$C$2:$C$7,dim_BMI!$B$2:$B$7,,1)</f>
        <v>25.0 to 29.9 (Overweight)</v>
      </c>
    </row>
    <row r="938" spans="1:11" x14ac:dyDescent="0.25">
      <c r="A938" s="1">
        <v>569</v>
      </c>
      <c r="B938">
        <v>49</v>
      </c>
      <c r="C938">
        <v>31.9</v>
      </c>
      <c r="D938">
        <v>5</v>
      </c>
      <c r="E938">
        <f t="shared" si="14"/>
        <v>0</v>
      </c>
      <c r="F938">
        <v>11552.904</v>
      </c>
      <c r="G938" t="s">
        <v>9</v>
      </c>
      <c r="H938" t="s">
        <v>11</v>
      </c>
      <c r="I938" t="s">
        <v>7</v>
      </c>
      <c r="J938">
        <f>_xlfn.XLOOKUP(C938,dim_BMI!$C$2:$C$7,dim_BMI!$A$2:$A$7,,1)</f>
        <v>4</v>
      </c>
      <c r="K938" t="str">
        <f>_xlfn.XLOOKUP(C938,dim_BMI!$C$2:$C$7,dim_BMI!$B$2:$B$7,,1)</f>
        <v>30.0 to 34.9 (Obesity Class 1)</v>
      </c>
    </row>
    <row r="939" spans="1:11" x14ac:dyDescent="0.25">
      <c r="A939" s="1">
        <v>618</v>
      </c>
      <c r="B939">
        <v>49</v>
      </c>
      <c r="C939">
        <v>25.6</v>
      </c>
      <c r="D939">
        <v>2</v>
      </c>
      <c r="E939">
        <f t="shared" si="14"/>
        <v>1</v>
      </c>
      <c r="F939">
        <v>23306.546999999999</v>
      </c>
      <c r="G939" t="s">
        <v>9</v>
      </c>
      <c r="H939" t="s">
        <v>8</v>
      </c>
      <c r="I939" t="s">
        <v>10</v>
      </c>
      <c r="J939">
        <f>_xlfn.XLOOKUP(C939,dim_BMI!$C$2:$C$7,dim_BMI!$A$2:$A$7,,1)</f>
        <v>3</v>
      </c>
      <c r="K939" t="str">
        <f>_xlfn.XLOOKUP(C939,dim_BMI!$C$2:$C$7,dim_BMI!$B$2:$B$7,,1)</f>
        <v>25.0 to 29.9 (Overweight)</v>
      </c>
    </row>
    <row r="940" spans="1:11" x14ac:dyDescent="0.25">
      <c r="A940" s="1">
        <v>623</v>
      </c>
      <c r="B940">
        <v>49</v>
      </c>
      <c r="C940">
        <v>21.3</v>
      </c>
      <c r="D940">
        <v>1</v>
      </c>
      <c r="E940">
        <f t="shared" si="14"/>
        <v>0</v>
      </c>
      <c r="F940">
        <v>9182.17</v>
      </c>
      <c r="G940" t="s">
        <v>9</v>
      </c>
      <c r="H940" t="s">
        <v>11</v>
      </c>
      <c r="I940" t="s">
        <v>7</v>
      </c>
      <c r="J940">
        <f>_xlfn.XLOOKUP(C940,dim_BMI!$C$2:$C$7,dim_BMI!$A$2:$A$7,,1)</f>
        <v>2</v>
      </c>
      <c r="K940" t="str">
        <f>_xlfn.XLOOKUP(C940,dim_BMI!$C$2:$C$7,dim_BMI!$B$2:$B$7,,1)</f>
        <v>18.5 to 24.9 (Healthy Weight)</v>
      </c>
    </row>
    <row r="941" spans="1:11" x14ac:dyDescent="0.25">
      <c r="A941" s="1">
        <v>651</v>
      </c>
      <c r="B941">
        <v>49</v>
      </c>
      <c r="C941">
        <v>42.68</v>
      </c>
      <c r="D941">
        <v>2</v>
      </c>
      <c r="E941">
        <f t="shared" si="14"/>
        <v>0</v>
      </c>
      <c r="F941">
        <v>9800.8881999999994</v>
      </c>
      <c r="G941" t="s">
        <v>12</v>
      </c>
      <c r="H941" t="s">
        <v>11</v>
      </c>
      <c r="I941" t="s">
        <v>7</v>
      </c>
      <c r="J941">
        <f>_xlfn.XLOOKUP(C941,dim_BMI!$C$2:$C$7,dim_BMI!$A$2:$A$7,,1)</f>
        <v>6</v>
      </c>
      <c r="K941" t="str">
        <f>_xlfn.XLOOKUP(C941,dim_BMI!$C$2:$C$7,dim_BMI!$B$2:$B$7,,1)</f>
        <v>40 or higher (Severe Obesity Class 3)</v>
      </c>
    </row>
    <row r="942" spans="1:11" x14ac:dyDescent="0.25">
      <c r="A942" s="1">
        <v>667</v>
      </c>
      <c r="B942">
        <v>49</v>
      </c>
      <c r="C942">
        <v>28.7</v>
      </c>
      <c r="D942">
        <v>1</v>
      </c>
      <c r="E942">
        <f t="shared" si="14"/>
        <v>0</v>
      </c>
      <c r="F942">
        <v>8703.4560000000001</v>
      </c>
      <c r="G942" t="s">
        <v>9</v>
      </c>
      <c r="H942" t="s">
        <v>11</v>
      </c>
      <c r="I942" t="s">
        <v>10</v>
      </c>
      <c r="J942">
        <f>_xlfn.XLOOKUP(C942,dim_BMI!$C$2:$C$7,dim_BMI!$A$2:$A$7,,1)</f>
        <v>3</v>
      </c>
      <c r="K942" t="str">
        <f>_xlfn.XLOOKUP(C942,dim_BMI!$C$2:$C$7,dim_BMI!$B$2:$B$7,,1)</f>
        <v>25.0 to 29.9 (Overweight)</v>
      </c>
    </row>
    <row r="943" spans="1:11" x14ac:dyDescent="0.25">
      <c r="A943" s="1">
        <v>680</v>
      </c>
      <c r="B943">
        <v>49</v>
      </c>
      <c r="C943">
        <v>23.18</v>
      </c>
      <c r="D943">
        <v>2</v>
      </c>
      <c r="E943">
        <f t="shared" si="14"/>
        <v>0</v>
      </c>
      <c r="F943">
        <v>10156.7832</v>
      </c>
      <c r="G943" t="s">
        <v>13</v>
      </c>
      <c r="H943" t="s">
        <v>11</v>
      </c>
      <c r="I943" t="s">
        <v>7</v>
      </c>
      <c r="J943">
        <f>_xlfn.XLOOKUP(C943,dim_BMI!$C$2:$C$7,dim_BMI!$A$2:$A$7,,1)</f>
        <v>2</v>
      </c>
      <c r="K943" t="str">
        <f>_xlfn.XLOOKUP(C943,dim_BMI!$C$2:$C$7,dim_BMI!$B$2:$B$7,,1)</f>
        <v>18.5 to 24.9 (Healthy Weight)</v>
      </c>
    </row>
    <row r="944" spans="1:11" x14ac:dyDescent="0.25">
      <c r="A944" s="1">
        <v>708</v>
      </c>
      <c r="B944">
        <v>49</v>
      </c>
      <c r="C944">
        <v>28.69</v>
      </c>
      <c r="D944">
        <v>3</v>
      </c>
      <c r="E944">
        <f t="shared" si="14"/>
        <v>0</v>
      </c>
      <c r="F944">
        <v>10264.4421</v>
      </c>
      <c r="G944" t="s">
        <v>13</v>
      </c>
      <c r="H944" t="s">
        <v>11</v>
      </c>
      <c r="I944" t="s">
        <v>10</v>
      </c>
      <c r="J944">
        <f>_xlfn.XLOOKUP(C944,dim_BMI!$C$2:$C$7,dim_BMI!$A$2:$A$7,,1)</f>
        <v>3</v>
      </c>
      <c r="K944" t="str">
        <f>_xlfn.XLOOKUP(C944,dim_BMI!$C$2:$C$7,dim_BMI!$B$2:$B$7,,1)</f>
        <v>25.0 to 29.9 (Overweight)</v>
      </c>
    </row>
    <row r="945" spans="1:11" x14ac:dyDescent="0.25">
      <c r="A945" s="1">
        <v>717</v>
      </c>
      <c r="B945">
        <v>49</v>
      </c>
      <c r="C945">
        <v>22.61</v>
      </c>
      <c r="D945">
        <v>1</v>
      </c>
      <c r="E945">
        <f t="shared" si="14"/>
        <v>0</v>
      </c>
      <c r="F945">
        <v>9566.9909000000007</v>
      </c>
      <c r="G945" t="s">
        <v>13</v>
      </c>
      <c r="H945" t="s">
        <v>11</v>
      </c>
      <c r="I945" t="s">
        <v>7</v>
      </c>
      <c r="J945">
        <f>_xlfn.XLOOKUP(C945,dim_BMI!$C$2:$C$7,dim_BMI!$A$2:$A$7,,1)</f>
        <v>2</v>
      </c>
      <c r="K945" t="str">
        <f>_xlfn.XLOOKUP(C945,dim_BMI!$C$2:$C$7,dim_BMI!$B$2:$B$7,,1)</f>
        <v>18.5 to 24.9 (Healthy Weight)</v>
      </c>
    </row>
    <row r="946" spans="1:11" x14ac:dyDescent="0.25">
      <c r="A946" s="1">
        <v>736</v>
      </c>
      <c r="B946">
        <v>49</v>
      </c>
      <c r="C946">
        <v>34.770000000000003</v>
      </c>
      <c r="D946">
        <v>1</v>
      </c>
      <c r="E946">
        <f t="shared" si="14"/>
        <v>0</v>
      </c>
      <c r="F946">
        <v>9583.8932999999997</v>
      </c>
      <c r="G946" t="s">
        <v>13</v>
      </c>
      <c r="H946" t="s">
        <v>11</v>
      </c>
      <c r="I946" t="s">
        <v>7</v>
      </c>
      <c r="J946">
        <f>_xlfn.XLOOKUP(C946,dim_BMI!$C$2:$C$7,dim_BMI!$A$2:$A$7,,1)</f>
        <v>4</v>
      </c>
      <c r="K946" t="str">
        <f>_xlfn.XLOOKUP(C946,dim_BMI!$C$2:$C$7,dim_BMI!$B$2:$B$7,,1)</f>
        <v>30.0 to 34.9 (Obesity Class 1)</v>
      </c>
    </row>
    <row r="947" spans="1:11" x14ac:dyDescent="0.25">
      <c r="A947" s="1">
        <v>855</v>
      </c>
      <c r="B947">
        <v>49</v>
      </c>
      <c r="C947">
        <v>23.844999999999999</v>
      </c>
      <c r="D947">
        <v>3</v>
      </c>
      <c r="E947">
        <f t="shared" si="14"/>
        <v>1</v>
      </c>
      <c r="F947">
        <v>24106.912550000001</v>
      </c>
      <c r="G947" t="s">
        <v>14</v>
      </c>
      <c r="H947" t="s">
        <v>8</v>
      </c>
      <c r="I947" t="s">
        <v>7</v>
      </c>
      <c r="J947">
        <f>_xlfn.XLOOKUP(C947,dim_BMI!$C$2:$C$7,dim_BMI!$A$2:$A$7,,1)</f>
        <v>2</v>
      </c>
      <c r="K947" t="str">
        <f>_xlfn.XLOOKUP(C947,dim_BMI!$C$2:$C$7,dim_BMI!$B$2:$B$7,,1)</f>
        <v>18.5 to 24.9 (Healthy Weight)</v>
      </c>
    </row>
    <row r="948" spans="1:11" x14ac:dyDescent="0.25">
      <c r="A948" s="1">
        <v>877</v>
      </c>
      <c r="B948">
        <v>49</v>
      </c>
      <c r="C948">
        <v>27.1</v>
      </c>
      <c r="D948">
        <v>1</v>
      </c>
      <c r="E948">
        <f t="shared" si="14"/>
        <v>0</v>
      </c>
      <c r="F948">
        <v>26140.3603</v>
      </c>
      <c r="G948" t="s">
        <v>9</v>
      </c>
      <c r="H948" t="s">
        <v>11</v>
      </c>
      <c r="I948" t="s">
        <v>7</v>
      </c>
      <c r="J948">
        <f>_xlfn.XLOOKUP(C948,dim_BMI!$C$2:$C$7,dim_BMI!$A$2:$A$7,,1)</f>
        <v>3</v>
      </c>
      <c r="K948" t="str">
        <f>_xlfn.XLOOKUP(C948,dim_BMI!$C$2:$C$7,dim_BMI!$B$2:$B$7,,1)</f>
        <v>25.0 to 29.9 (Overweight)</v>
      </c>
    </row>
    <row r="949" spans="1:11" x14ac:dyDescent="0.25">
      <c r="A949" s="1">
        <v>901</v>
      </c>
      <c r="B949">
        <v>49</v>
      </c>
      <c r="C949">
        <v>22.515000000000001</v>
      </c>
      <c r="D949">
        <v>0</v>
      </c>
      <c r="E949">
        <f t="shared" si="14"/>
        <v>0</v>
      </c>
      <c r="F949">
        <v>8688.8588500000005</v>
      </c>
      <c r="G949" t="s">
        <v>14</v>
      </c>
      <c r="H949" t="s">
        <v>11</v>
      </c>
      <c r="I949" t="s">
        <v>10</v>
      </c>
      <c r="J949">
        <f>_xlfn.XLOOKUP(C949,dim_BMI!$C$2:$C$7,dim_BMI!$A$2:$A$7,,1)</f>
        <v>2</v>
      </c>
      <c r="K949" t="str">
        <f>_xlfn.XLOOKUP(C949,dim_BMI!$C$2:$C$7,dim_BMI!$B$2:$B$7,,1)</f>
        <v>18.5 to 24.9 (Healthy Weight)</v>
      </c>
    </row>
    <row r="950" spans="1:11" x14ac:dyDescent="0.25">
      <c r="A950" s="1">
        <v>904</v>
      </c>
      <c r="B950">
        <v>49</v>
      </c>
      <c r="C950">
        <v>36.85</v>
      </c>
      <c r="D950">
        <v>0</v>
      </c>
      <c r="E950">
        <f t="shared" si="14"/>
        <v>0</v>
      </c>
      <c r="F950">
        <v>8125.7844999999998</v>
      </c>
      <c r="G950" t="s">
        <v>12</v>
      </c>
      <c r="H950" t="s">
        <v>11</v>
      </c>
      <c r="I950" t="s">
        <v>10</v>
      </c>
      <c r="J950">
        <f>_xlfn.XLOOKUP(C950,dim_BMI!$C$2:$C$7,dim_BMI!$A$2:$A$7,,1)</f>
        <v>5</v>
      </c>
      <c r="K950" t="str">
        <f>_xlfn.XLOOKUP(C950,dim_BMI!$C$2:$C$7,dim_BMI!$B$2:$B$7,,1)</f>
        <v>35 to 39.9 (Obesity Class 2)</v>
      </c>
    </row>
    <row r="951" spans="1:11" x14ac:dyDescent="0.25">
      <c r="A951" s="1">
        <v>1050</v>
      </c>
      <c r="B951">
        <v>49</v>
      </c>
      <c r="C951">
        <v>30.9</v>
      </c>
      <c r="D951">
        <v>0</v>
      </c>
      <c r="E951">
        <f t="shared" si="14"/>
        <v>1</v>
      </c>
      <c r="F951">
        <v>39727.614000000001</v>
      </c>
      <c r="G951" t="s">
        <v>9</v>
      </c>
      <c r="H951" t="s">
        <v>8</v>
      </c>
      <c r="I951" t="s">
        <v>10</v>
      </c>
      <c r="J951">
        <f>_xlfn.XLOOKUP(C951,dim_BMI!$C$2:$C$7,dim_BMI!$A$2:$A$7,,1)</f>
        <v>4</v>
      </c>
      <c r="K951" t="str">
        <f>_xlfn.XLOOKUP(C951,dim_BMI!$C$2:$C$7,dim_BMI!$B$2:$B$7,,1)</f>
        <v>30.0 to 34.9 (Obesity Class 1)</v>
      </c>
    </row>
    <row r="952" spans="1:11" x14ac:dyDescent="0.25">
      <c r="A952" s="1">
        <v>1053</v>
      </c>
      <c r="B952">
        <v>49</v>
      </c>
      <c r="C952">
        <v>29.83</v>
      </c>
      <c r="D952">
        <v>1</v>
      </c>
      <c r="E952">
        <f t="shared" si="14"/>
        <v>0</v>
      </c>
      <c r="F952">
        <v>9288.0267000000003</v>
      </c>
      <c r="G952" t="s">
        <v>14</v>
      </c>
      <c r="H952" t="s">
        <v>11</v>
      </c>
      <c r="I952" t="s">
        <v>10</v>
      </c>
      <c r="J952">
        <f>_xlfn.XLOOKUP(C952,dim_BMI!$C$2:$C$7,dim_BMI!$A$2:$A$7,,1)</f>
        <v>3</v>
      </c>
      <c r="K952" t="str">
        <f>_xlfn.XLOOKUP(C952,dim_BMI!$C$2:$C$7,dim_BMI!$B$2:$B$7,,1)</f>
        <v>25.0 to 29.9 (Overweight)</v>
      </c>
    </row>
    <row r="953" spans="1:11" x14ac:dyDescent="0.25">
      <c r="A953" s="1">
        <v>1107</v>
      </c>
      <c r="B953">
        <v>49</v>
      </c>
      <c r="C953">
        <v>29.925000000000001</v>
      </c>
      <c r="D953">
        <v>0</v>
      </c>
      <c r="E953">
        <f t="shared" si="14"/>
        <v>0</v>
      </c>
      <c r="F953">
        <v>8988.1587500000005</v>
      </c>
      <c r="G953" t="s">
        <v>13</v>
      </c>
      <c r="H953" t="s">
        <v>11</v>
      </c>
      <c r="I953" t="s">
        <v>7</v>
      </c>
      <c r="J953">
        <f>_xlfn.XLOOKUP(C953,dim_BMI!$C$2:$C$7,dim_BMI!$A$2:$A$7,,1)</f>
        <v>4</v>
      </c>
      <c r="K953" t="str">
        <f>_xlfn.XLOOKUP(C953,dim_BMI!$C$2:$C$7,dim_BMI!$B$2:$B$7,,1)</f>
        <v>30.0 to 34.9 (Obesity Class 1)</v>
      </c>
    </row>
    <row r="954" spans="1:11" x14ac:dyDescent="0.25">
      <c r="A954" s="1">
        <v>1265</v>
      </c>
      <c r="B954">
        <v>49</v>
      </c>
      <c r="C954">
        <v>33.344999999999999</v>
      </c>
      <c r="D954">
        <v>2</v>
      </c>
      <c r="E954">
        <f t="shared" si="14"/>
        <v>0</v>
      </c>
      <c r="F954">
        <v>10370.912549999999</v>
      </c>
      <c r="G954" t="s">
        <v>14</v>
      </c>
      <c r="H954" t="s">
        <v>11</v>
      </c>
      <c r="I954" t="s">
        <v>7</v>
      </c>
      <c r="J954">
        <f>_xlfn.XLOOKUP(C954,dim_BMI!$C$2:$C$7,dim_BMI!$A$2:$A$7,,1)</f>
        <v>4</v>
      </c>
      <c r="K954" t="str">
        <f>_xlfn.XLOOKUP(C954,dim_BMI!$C$2:$C$7,dim_BMI!$B$2:$B$7,,1)</f>
        <v>30.0 to 34.9 (Obesity Class 1)</v>
      </c>
    </row>
    <row r="955" spans="1:11" x14ac:dyDescent="0.25">
      <c r="A955" s="1">
        <v>160</v>
      </c>
      <c r="B955">
        <v>50</v>
      </c>
      <c r="C955">
        <v>27.83</v>
      </c>
      <c r="D955">
        <v>3</v>
      </c>
      <c r="E955">
        <f t="shared" si="14"/>
        <v>0</v>
      </c>
      <c r="F955">
        <v>19749.383379999999</v>
      </c>
      <c r="G955" t="s">
        <v>12</v>
      </c>
      <c r="H955" t="s">
        <v>11</v>
      </c>
      <c r="I955" t="s">
        <v>7</v>
      </c>
      <c r="J955">
        <f>_xlfn.XLOOKUP(C955,dim_BMI!$C$2:$C$7,dim_BMI!$A$2:$A$7,,1)</f>
        <v>3</v>
      </c>
      <c r="K955" t="str">
        <f>_xlfn.XLOOKUP(C955,dim_BMI!$C$2:$C$7,dim_BMI!$B$2:$B$7,,1)</f>
        <v>25.0 to 29.9 (Overweight)</v>
      </c>
    </row>
    <row r="956" spans="1:11" x14ac:dyDescent="0.25">
      <c r="A956" s="1">
        <v>255</v>
      </c>
      <c r="B956">
        <v>50</v>
      </c>
      <c r="C956">
        <v>31.824999999999999</v>
      </c>
      <c r="D956">
        <v>0</v>
      </c>
      <c r="E956">
        <f t="shared" si="14"/>
        <v>1</v>
      </c>
      <c r="F956">
        <v>41097.161749999999</v>
      </c>
      <c r="G956" t="s">
        <v>14</v>
      </c>
      <c r="H956" t="s">
        <v>8</v>
      </c>
      <c r="I956" t="s">
        <v>10</v>
      </c>
      <c r="J956">
        <f>_xlfn.XLOOKUP(C956,dim_BMI!$C$2:$C$7,dim_BMI!$A$2:$A$7,,1)</f>
        <v>4</v>
      </c>
      <c r="K956" t="str">
        <f>_xlfn.XLOOKUP(C956,dim_BMI!$C$2:$C$7,dim_BMI!$B$2:$B$7,,1)</f>
        <v>30.0 to 34.9 (Obesity Class 1)</v>
      </c>
    </row>
    <row r="957" spans="1:11" x14ac:dyDescent="0.25">
      <c r="A957" s="1">
        <v>272</v>
      </c>
      <c r="B957">
        <v>50</v>
      </c>
      <c r="C957">
        <v>34.200000000000003</v>
      </c>
      <c r="D957">
        <v>2</v>
      </c>
      <c r="E957">
        <f t="shared" si="14"/>
        <v>1</v>
      </c>
      <c r="F957">
        <v>42856.838000000003</v>
      </c>
      <c r="G957" t="s">
        <v>9</v>
      </c>
      <c r="H957" t="s">
        <v>8</v>
      </c>
      <c r="I957" t="s">
        <v>10</v>
      </c>
      <c r="J957">
        <f>_xlfn.XLOOKUP(C957,dim_BMI!$C$2:$C$7,dim_BMI!$A$2:$A$7,,1)</f>
        <v>4</v>
      </c>
      <c r="K957" t="str">
        <f>_xlfn.XLOOKUP(C957,dim_BMI!$C$2:$C$7,dim_BMI!$B$2:$B$7,,1)</f>
        <v>30.0 to 34.9 (Obesity Class 1)</v>
      </c>
    </row>
    <row r="958" spans="1:11" x14ac:dyDescent="0.25">
      <c r="A958" s="1">
        <v>274</v>
      </c>
      <c r="B958">
        <v>50</v>
      </c>
      <c r="C958">
        <v>27.454999999999998</v>
      </c>
      <c r="D958">
        <v>1</v>
      </c>
      <c r="E958">
        <f t="shared" si="14"/>
        <v>0</v>
      </c>
      <c r="F958">
        <v>9617.6624499999998</v>
      </c>
      <c r="G958" t="s">
        <v>14</v>
      </c>
      <c r="H958" t="s">
        <v>11</v>
      </c>
      <c r="I958" t="s">
        <v>10</v>
      </c>
      <c r="J958">
        <f>_xlfn.XLOOKUP(C958,dim_BMI!$C$2:$C$7,dim_BMI!$A$2:$A$7,,1)</f>
        <v>3</v>
      </c>
      <c r="K958" t="str">
        <f>_xlfn.XLOOKUP(C958,dim_BMI!$C$2:$C$7,dim_BMI!$B$2:$B$7,,1)</f>
        <v>25.0 to 29.9 (Overweight)</v>
      </c>
    </row>
    <row r="959" spans="1:11" x14ac:dyDescent="0.25">
      <c r="A959" s="1">
        <v>311</v>
      </c>
      <c r="B959">
        <v>50</v>
      </c>
      <c r="C959">
        <v>26.6</v>
      </c>
      <c r="D959">
        <v>0</v>
      </c>
      <c r="E959">
        <f t="shared" si="14"/>
        <v>0</v>
      </c>
      <c r="F959">
        <v>8444.4740000000002</v>
      </c>
      <c r="G959" t="s">
        <v>9</v>
      </c>
      <c r="H959" t="s">
        <v>11</v>
      </c>
      <c r="I959" t="s">
        <v>10</v>
      </c>
      <c r="J959">
        <f>_xlfn.XLOOKUP(C959,dim_BMI!$C$2:$C$7,dim_BMI!$A$2:$A$7,,1)</f>
        <v>3</v>
      </c>
      <c r="K959" t="str">
        <f>_xlfn.XLOOKUP(C959,dim_BMI!$C$2:$C$7,dim_BMI!$B$2:$B$7,,1)</f>
        <v>25.0 to 29.9 (Overweight)</v>
      </c>
    </row>
    <row r="960" spans="1:11" x14ac:dyDescent="0.25">
      <c r="A960" s="1">
        <v>317</v>
      </c>
      <c r="B960">
        <v>50</v>
      </c>
      <c r="C960">
        <v>32.204999999999998</v>
      </c>
      <c r="D960">
        <v>0</v>
      </c>
      <c r="E960">
        <f t="shared" si="14"/>
        <v>0</v>
      </c>
      <c r="F960">
        <v>8835.2649500000007</v>
      </c>
      <c r="G960" t="s">
        <v>13</v>
      </c>
      <c r="H960" t="s">
        <v>11</v>
      </c>
      <c r="I960" t="s">
        <v>10</v>
      </c>
      <c r="J960">
        <f>_xlfn.XLOOKUP(C960,dim_BMI!$C$2:$C$7,dim_BMI!$A$2:$A$7,,1)</f>
        <v>4</v>
      </c>
      <c r="K960" t="str">
        <f>_xlfn.XLOOKUP(C960,dim_BMI!$C$2:$C$7,dim_BMI!$B$2:$B$7,,1)</f>
        <v>30.0 to 34.9 (Obesity Class 1)</v>
      </c>
    </row>
    <row r="961" spans="1:11" x14ac:dyDescent="0.25">
      <c r="A961" s="1">
        <v>339</v>
      </c>
      <c r="B961">
        <v>50</v>
      </c>
      <c r="C961">
        <v>32.299999999999997</v>
      </c>
      <c r="D961">
        <v>1</v>
      </c>
      <c r="E961">
        <f t="shared" si="14"/>
        <v>1</v>
      </c>
      <c r="F961">
        <v>41919.097000000002</v>
      </c>
      <c r="G961" t="s">
        <v>14</v>
      </c>
      <c r="H961" t="s">
        <v>8</v>
      </c>
      <c r="I961" t="s">
        <v>10</v>
      </c>
      <c r="J961">
        <f>_xlfn.XLOOKUP(C961,dim_BMI!$C$2:$C$7,dim_BMI!$A$2:$A$7,,1)</f>
        <v>4</v>
      </c>
      <c r="K961" t="str">
        <f>_xlfn.XLOOKUP(C961,dim_BMI!$C$2:$C$7,dim_BMI!$B$2:$B$7,,1)</f>
        <v>30.0 to 34.9 (Obesity Class 1)</v>
      </c>
    </row>
    <row r="962" spans="1:11" x14ac:dyDescent="0.25">
      <c r="A962" s="1">
        <v>352</v>
      </c>
      <c r="B962">
        <v>50</v>
      </c>
      <c r="C962">
        <v>25.6</v>
      </c>
      <c r="D962">
        <v>0</v>
      </c>
      <c r="E962">
        <f t="shared" si="14"/>
        <v>0</v>
      </c>
      <c r="F962">
        <v>8932.0840000000007</v>
      </c>
      <c r="G962" t="s">
        <v>9</v>
      </c>
      <c r="H962" t="s">
        <v>11</v>
      </c>
      <c r="I962" t="s">
        <v>7</v>
      </c>
      <c r="J962">
        <f>_xlfn.XLOOKUP(C962,dim_BMI!$C$2:$C$7,dim_BMI!$A$2:$A$7,,1)</f>
        <v>3</v>
      </c>
      <c r="K962" t="str">
        <f>_xlfn.XLOOKUP(C962,dim_BMI!$C$2:$C$7,dim_BMI!$B$2:$B$7,,1)</f>
        <v>25.0 to 29.9 (Overweight)</v>
      </c>
    </row>
    <row r="963" spans="1:11" x14ac:dyDescent="0.25">
      <c r="A963" s="1">
        <v>388</v>
      </c>
      <c r="B963">
        <v>50</v>
      </c>
      <c r="C963">
        <v>25.364999999999998</v>
      </c>
      <c r="D963">
        <v>2</v>
      </c>
      <c r="E963">
        <f t="shared" ref="E963:E1026" si="15">IF(H963="yes",1,0)</f>
        <v>0</v>
      </c>
      <c r="F963">
        <v>30284.642940000002</v>
      </c>
      <c r="G963" t="s">
        <v>13</v>
      </c>
      <c r="H963" t="s">
        <v>11</v>
      </c>
      <c r="I963" t="s">
        <v>10</v>
      </c>
      <c r="J963">
        <f>_xlfn.XLOOKUP(C963,dim_BMI!$C$2:$C$7,dim_BMI!$A$2:$A$7,,1)</f>
        <v>3</v>
      </c>
      <c r="K963" t="str">
        <f>_xlfn.XLOOKUP(C963,dim_BMI!$C$2:$C$7,dim_BMI!$B$2:$B$7,,1)</f>
        <v>25.0 to 29.9 (Overweight)</v>
      </c>
    </row>
    <row r="964" spans="1:11" x14ac:dyDescent="0.25">
      <c r="A964" s="1">
        <v>521</v>
      </c>
      <c r="B964">
        <v>50</v>
      </c>
      <c r="C964">
        <v>27.36</v>
      </c>
      <c r="D964">
        <v>0</v>
      </c>
      <c r="E964">
        <f t="shared" si="15"/>
        <v>0</v>
      </c>
      <c r="F964">
        <v>25656.575260000001</v>
      </c>
      <c r="G964" t="s">
        <v>14</v>
      </c>
      <c r="H964" t="s">
        <v>11</v>
      </c>
      <c r="I964" t="s">
        <v>7</v>
      </c>
      <c r="J964">
        <f>_xlfn.XLOOKUP(C964,dim_BMI!$C$2:$C$7,dim_BMI!$A$2:$A$7,,1)</f>
        <v>3</v>
      </c>
      <c r="K964" t="str">
        <f>_xlfn.XLOOKUP(C964,dim_BMI!$C$2:$C$7,dim_BMI!$B$2:$B$7,,1)</f>
        <v>25.0 to 29.9 (Overweight)</v>
      </c>
    </row>
    <row r="965" spans="1:11" x14ac:dyDescent="0.25">
      <c r="A965" s="1">
        <v>564</v>
      </c>
      <c r="B965">
        <v>50</v>
      </c>
      <c r="C965">
        <v>44.77</v>
      </c>
      <c r="D965">
        <v>1</v>
      </c>
      <c r="E965">
        <f t="shared" si="15"/>
        <v>0</v>
      </c>
      <c r="F965">
        <v>9058.7302999999993</v>
      </c>
      <c r="G965" t="s">
        <v>12</v>
      </c>
      <c r="H965" t="s">
        <v>11</v>
      </c>
      <c r="I965" t="s">
        <v>10</v>
      </c>
      <c r="J965">
        <f>_xlfn.XLOOKUP(C965,dim_BMI!$C$2:$C$7,dim_BMI!$A$2:$A$7,,1)</f>
        <v>6</v>
      </c>
      <c r="K965" t="str">
        <f>_xlfn.XLOOKUP(C965,dim_BMI!$C$2:$C$7,dim_BMI!$B$2:$B$7,,1)</f>
        <v>40 or higher (Severe Obesity Class 3)</v>
      </c>
    </row>
    <row r="966" spans="1:11" x14ac:dyDescent="0.25">
      <c r="A966" s="1">
        <v>702</v>
      </c>
      <c r="B966">
        <v>50</v>
      </c>
      <c r="C966">
        <v>44.744999999999997</v>
      </c>
      <c r="D966">
        <v>0</v>
      </c>
      <c r="E966">
        <f t="shared" si="15"/>
        <v>0</v>
      </c>
      <c r="F966">
        <v>9541.6955500000004</v>
      </c>
      <c r="G966" t="s">
        <v>14</v>
      </c>
      <c r="H966" t="s">
        <v>11</v>
      </c>
      <c r="I966" t="s">
        <v>7</v>
      </c>
      <c r="J966">
        <f>_xlfn.XLOOKUP(C966,dim_BMI!$C$2:$C$7,dim_BMI!$A$2:$A$7,,1)</f>
        <v>6</v>
      </c>
      <c r="K966" t="str">
        <f>_xlfn.XLOOKUP(C966,dim_BMI!$C$2:$C$7,dim_BMI!$B$2:$B$7,,1)</f>
        <v>40 or higher (Severe Obesity Class 3)</v>
      </c>
    </row>
    <row r="967" spans="1:11" x14ac:dyDescent="0.25">
      <c r="A967" s="1">
        <v>712</v>
      </c>
      <c r="B967">
        <v>50</v>
      </c>
      <c r="C967">
        <v>23.54</v>
      </c>
      <c r="D967">
        <v>2</v>
      </c>
      <c r="E967">
        <f t="shared" si="15"/>
        <v>0</v>
      </c>
      <c r="F967">
        <v>10107.220600000001</v>
      </c>
      <c r="G967" t="s">
        <v>12</v>
      </c>
      <c r="H967" t="s">
        <v>11</v>
      </c>
      <c r="I967" t="s">
        <v>7</v>
      </c>
      <c r="J967">
        <f>_xlfn.XLOOKUP(C967,dim_BMI!$C$2:$C$7,dim_BMI!$A$2:$A$7,,1)</f>
        <v>2</v>
      </c>
      <c r="K967" t="str">
        <f>_xlfn.XLOOKUP(C967,dim_BMI!$C$2:$C$7,dim_BMI!$B$2:$B$7,,1)</f>
        <v>18.5 to 24.9 (Healthy Weight)</v>
      </c>
    </row>
    <row r="968" spans="1:11" x14ac:dyDescent="0.25">
      <c r="A968" s="1">
        <v>725</v>
      </c>
      <c r="B968">
        <v>50</v>
      </c>
      <c r="C968">
        <v>27.074999999999999</v>
      </c>
      <c r="D968">
        <v>1</v>
      </c>
      <c r="E968">
        <f t="shared" si="15"/>
        <v>0</v>
      </c>
      <c r="F968">
        <v>10106.134249999999</v>
      </c>
      <c r="G968" t="s">
        <v>14</v>
      </c>
      <c r="H968" t="s">
        <v>11</v>
      </c>
      <c r="I968" t="s">
        <v>7</v>
      </c>
      <c r="J968">
        <f>_xlfn.XLOOKUP(C968,dim_BMI!$C$2:$C$7,dim_BMI!$A$2:$A$7,,1)</f>
        <v>3</v>
      </c>
      <c r="K968" t="str">
        <f>_xlfn.XLOOKUP(C968,dim_BMI!$C$2:$C$7,dim_BMI!$B$2:$B$7,,1)</f>
        <v>25.0 to 29.9 (Overweight)</v>
      </c>
    </row>
    <row r="969" spans="1:11" x14ac:dyDescent="0.25">
      <c r="A969" s="1">
        <v>745</v>
      </c>
      <c r="B969">
        <v>50</v>
      </c>
      <c r="C969">
        <v>26.41</v>
      </c>
      <c r="D969">
        <v>0</v>
      </c>
      <c r="E969">
        <f t="shared" si="15"/>
        <v>0</v>
      </c>
      <c r="F969">
        <v>8827.2098999999998</v>
      </c>
      <c r="G969" t="s">
        <v>13</v>
      </c>
      <c r="H969" t="s">
        <v>11</v>
      </c>
      <c r="I969" t="s">
        <v>10</v>
      </c>
      <c r="J969">
        <f>_xlfn.XLOOKUP(C969,dim_BMI!$C$2:$C$7,dim_BMI!$A$2:$A$7,,1)</f>
        <v>3</v>
      </c>
      <c r="K969" t="str">
        <f>_xlfn.XLOOKUP(C969,dim_BMI!$C$2:$C$7,dim_BMI!$B$2:$B$7,,1)</f>
        <v>25.0 to 29.9 (Overweight)</v>
      </c>
    </row>
    <row r="970" spans="1:11" x14ac:dyDescent="0.25">
      <c r="A970" s="1">
        <v>746</v>
      </c>
      <c r="B970">
        <v>50</v>
      </c>
      <c r="C970">
        <v>30.114999999999998</v>
      </c>
      <c r="D970">
        <v>1</v>
      </c>
      <c r="E970">
        <f t="shared" si="15"/>
        <v>0</v>
      </c>
      <c r="F970">
        <v>9910.3598500000007</v>
      </c>
      <c r="G970" t="s">
        <v>13</v>
      </c>
      <c r="H970" t="s">
        <v>11</v>
      </c>
      <c r="I970" t="s">
        <v>7</v>
      </c>
      <c r="J970">
        <f>_xlfn.XLOOKUP(C970,dim_BMI!$C$2:$C$7,dim_BMI!$A$2:$A$7,,1)</f>
        <v>4</v>
      </c>
      <c r="K970" t="str">
        <f>_xlfn.XLOOKUP(C970,dim_BMI!$C$2:$C$7,dim_BMI!$B$2:$B$7,,1)</f>
        <v>30.0 to 34.9 (Obesity Class 1)</v>
      </c>
    </row>
    <row r="971" spans="1:11" x14ac:dyDescent="0.25">
      <c r="A971" s="1">
        <v>784</v>
      </c>
      <c r="B971">
        <v>50</v>
      </c>
      <c r="C971">
        <v>27.6</v>
      </c>
      <c r="D971">
        <v>1</v>
      </c>
      <c r="E971">
        <f t="shared" si="15"/>
        <v>1</v>
      </c>
      <c r="F971">
        <v>24520.263999999999</v>
      </c>
      <c r="G971" t="s">
        <v>9</v>
      </c>
      <c r="H971" t="s">
        <v>8</v>
      </c>
      <c r="I971" t="s">
        <v>7</v>
      </c>
      <c r="J971">
        <f>_xlfn.XLOOKUP(C971,dim_BMI!$C$2:$C$7,dim_BMI!$A$2:$A$7,,1)</f>
        <v>3</v>
      </c>
      <c r="K971" t="str">
        <f>_xlfn.XLOOKUP(C971,dim_BMI!$C$2:$C$7,dim_BMI!$B$2:$B$7,,1)</f>
        <v>25.0 to 29.9 (Overweight)</v>
      </c>
    </row>
    <row r="972" spans="1:11" x14ac:dyDescent="0.25">
      <c r="A972" s="1">
        <v>871</v>
      </c>
      <c r="B972">
        <v>50</v>
      </c>
      <c r="C972">
        <v>36.200000000000003</v>
      </c>
      <c r="D972">
        <v>0</v>
      </c>
      <c r="E972">
        <f t="shared" si="15"/>
        <v>0</v>
      </c>
      <c r="F972">
        <v>8457.8179999999993</v>
      </c>
      <c r="G972" t="s">
        <v>9</v>
      </c>
      <c r="H972" t="s">
        <v>11</v>
      </c>
      <c r="I972" t="s">
        <v>10</v>
      </c>
      <c r="J972">
        <f>_xlfn.XLOOKUP(C972,dim_BMI!$C$2:$C$7,dim_BMI!$A$2:$A$7,,1)</f>
        <v>5</v>
      </c>
      <c r="K972" t="str">
        <f>_xlfn.XLOOKUP(C972,dim_BMI!$C$2:$C$7,dim_BMI!$B$2:$B$7,,1)</f>
        <v>35 to 39.9 (Obesity Class 2)</v>
      </c>
    </row>
    <row r="973" spans="1:11" x14ac:dyDescent="0.25">
      <c r="A973" s="1">
        <v>926</v>
      </c>
      <c r="B973">
        <v>50</v>
      </c>
      <c r="C973">
        <v>32.11</v>
      </c>
      <c r="D973">
        <v>2</v>
      </c>
      <c r="E973">
        <f t="shared" si="15"/>
        <v>0</v>
      </c>
      <c r="F973">
        <v>25333.332839999999</v>
      </c>
      <c r="G973" t="s">
        <v>14</v>
      </c>
      <c r="H973" t="s">
        <v>11</v>
      </c>
      <c r="I973" t="s">
        <v>10</v>
      </c>
      <c r="J973">
        <f>_xlfn.XLOOKUP(C973,dim_BMI!$C$2:$C$7,dim_BMI!$A$2:$A$7,,1)</f>
        <v>4</v>
      </c>
      <c r="K973" t="str">
        <f>_xlfn.XLOOKUP(C973,dim_BMI!$C$2:$C$7,dim_BMI!$B$2:$B$7,,1)</f>
        <v>30.0 to 34.9 (Obesity Class 1)</v>
      </c>
    </row>
    <row r="974" spans="1:11" x14ac:dyDescent="0.25">
      <c r="A974" s="1">
        <v>942</v>
      </c>
      <c r="B974">
        <v>50</v>
      </c>
      <c r="C974">
        <v>46.09</v>
      </c>
      <c r="D974">
        <v>1</v>
      </c>
      <c r="E974">
        <f t="shared" si="15"/>
        <v>0</v>
      </c>
      <c r="F974">
        <v>9549.5650999999998</v>
      </c>
      <c r="G974" t="s">
        <v>12</v>
      </c>
      <c r="H974" t="s">
        <v>11</v>
      </c>
      <c r="I974" t="s">
        <v>7</v>
      </c>
      <c r="J974">
        <f>_xlfn.XLOOKUP(C974,dim_BMI!$C$2:$C$7,dim_BMI!$A$2:$A$7,,1)</f>
        <v>6</v>
      </c>
      <c r="K974" t="str">
        <f>_xlfn.XLOOKUP(C974,dim_BMI!$C$2:$C$7,dim_BMI!$B$2:$B$7,,1)</f>
        <v>40 or higher (Severe Obesity Class 3)</v>
      </c>
    </row>
    <row r="975" spans="1:11" x14ac:dyDescent="0.25">
      <c r="A975" s="1">
        <v>971</v>
      </c>
      <c r="B975">
        <v>50</v>
      </c>
      <c r="C975">
        <v>28.16</v>
      </c>
      <c r="D975">
        <v>3</v>
      </c>
      <c r="E975">
        <f t="shared" si="15"/>
        <v>0</v>
      </c>
      <c r="F975">
        <v>10702.642400000001</v>
      </c>
      <c r="G975" t="s">
        <v>12</v>
      </c>
      <c r="H975" t="s">
        <v>11</v>
      </c>
      <c r="I975" t="s">
        <v>7</v>
      </c>
      <c r="J975">
        <f>_xlfn.XLOOKUP(C975,dim_BMI!$C$2:$C$7,dim_BMI!$A$2:$A$7,,1)</f>
        <v>3</v>
      </c>
      <c r="K975" t="str">
        <f>_xlfn.XLOOKUP(C975,dim_BMI!$C$2:$C$7,dim_BMI!$B$2:$B$7,,1)</f>
        <v>25.0 to 29.9 (Overweight)</v>
      </c>
    </row>
    <row r="976" spans="1:11" x14ac:dyDescent="0.25">
      <c r="A976" s="1">
        <v>993</v>
      </c>
      <c r="B976">
        <v>50</v>
      </c>
      <c r="C976">
        <v>31.6</v>
      </c>
      <c r="D976">
        <v>2</v>
      </c>
      <c r="E976">
        <f t="shared" si="15"/>
        <v>0</v>
      </c>
      <c r="F976">
        <v>10118.424000000001</v>
      </c>
      <c r="G976" t="s">
        <v>9</v>
      </c>
      <c r="H976" t="s">
        <v>11</v>
      </c>
      <c r="I976" t="s">
        <v>7</v>
      </c>
      <c r="J976">
        <f>_xlfn.XLOOKUP(C976,dim_BMI!$C$2:$C$7,dim_BMI!$A$2:$A$7,,1)</f>
        <v>4</v>
      </c>
      <c r="K976" t="str">
        <f>_xlfn.XLOOKUP(C976,dim_BMI!$C$2:$C$7,dim_BMI!$B$2:$B$7,,1)</f>
        <v>30.0 to 34.9 (Obesity Class 1)</v>
      </c>
    </row>
    <row r="977" spans="1:11" x14ac:dyDescent="0.25">
      <c r="A977" s="1">
        <v>1095</v>
      </c>
      <c r="B977">
        <v>50</v>
      </c>
      <c r="C977">
        <v>33.700000000000003</v>
      </c>
      <c r="D977">
        <v>4</v>
      </c>
      <c r="E977">
        <f t="shared" si="15"/>
        <v>0</v>
      </c>
      <c r="F977">
        <v>11299.343000000001</v>
      </c>
      <c r="G977" t="s">
        <v>9</v>
      </c>
      <c r="H977" t="s">
        <v>11</v>
      </c>
      <c r="I977" t="s">
        <v>7</v>
      </c>
      <c r="J977">
        <f>_xlfn.XLOOKUP(C977,dim_BMI!$C$2:$C$7,dim_BMI!$A$2:$A$7,,1)</f>
        <v>4</v>
      </c>
      <c r="K977" t="str">
        <f>_xlfn.XLOOKUP(C977,dim_BMI!$C$2:$C$7,dim_BMI!$B$2:$B$7,,1)</f>
        <v>30.0 to 34.9 (Obesity Class 1)</v>
      </c>
    </row>
    <row r="978" spans="1:11" x14ac:dyDescent="0.25">
      <c r="A978" s="1">
        <v>1108</v>
      </c>
      <c r="B978">
        <v>50</v>
      </c>
      <c r="C978">
        <v>26.22</v>
      </c>
      <c r="D978">
        <v>2</v>
      </c>
      <c r="E978">
        <f t="shared" si="15"/>
        <v>0</v>
      </c>
      <c r="F978">
        <v>10493.9458</v>
      </c>
      <c r="G978" t="s">
        <v>13</v>
      </c>
      <c r="H978" t="s">
        <v>11</v>
      </c>
      <c r="I978" t="s">
        <v>7</v>
      </c>
      <c r="J978">
        <f>_xlfn.XLOOKUP(C978,dim_BMI!$C$2:$C$7,dim_BMI!$A$2:$A$7,,1)</f>
        <v>3</v>
      </c>
      <c r="K978" t="str">
        <f>_xlfn.XLOOKUP(C978,dim_BMI!$C$2:$C$7,dim_BMI!$B$2:$B$7,,1)</f>
        <v>25.0 to 29.9 (Overweight)</v>
      </c>
    </row>
    <row r="979" spans="1:11" x14ac:dyDescent="0.25">
      <c r="A979" s="1">
        <v>1136</v>
      </c>
      <c r="B979">
        <v>50</v>
      </c>
      <c r="C979">
        <v>28.12</v>
      </c>
      <c r="D979">
        <v>3</v>
      </c>
      <c r="E979">
        <f t="shared" si="15"/>
        <v>0</v>
      </c>
      <c r="F979">
        <v>11085.586799999999</v>
      </c>
      <c r="G979" t="s">
        <v>13</v>
      </c>
      <c r="H979" t="s">
        <v>11</v>
      </c>
      <c r="I979" t="s">
        <v>7</v>
      </c>
      <c r="J979">
        <f>_xlfn.XLOOKUP(C979,dim_BMI!$C$2:$C$7,dim_BMI!$A$2:$A$7,,1)</f>
        <v>3</v>
      </c>
      <c r="K979" t="str">
        <f>_xlfn.XLOOKUP(C979,dim_BMI!$C$2:$C$7,dim_BMI!$B$2:$B$7,,1)</f>
        <v>25.0 to 29.9 (Overweight)</v>
      </c>
    </row>
    <row r="980" spans="1:11" x14ac:dyDescent="0.25">
      <c r="A980" s="1">
        <v>1141</v>
      </c>
      <c r="B980">
        <v>50</v>
      </c>
      <c r="C980">
        <v>37.07</v>
      </c>
      <c r="D980">
        <v>1</v>
      </c>
      <c r="E980">
        <f t="shared" si="15"/>
        <v>0</v>
      </c>
      <c r="F980">
        <v>9048.0272999999997</v>
      </c>
      <c r="G980" t="s">
        <v>12</v>
      </c>
      <c r="H980" t="s">
        <v>11</v>
      </c>
      <c r="I980" t="s">
        <v>10</v>
      </c>
      <c r="J980">
        <f>_xlfn.XLOOKUP(C980,dim_BMI!$C$2:$C$7,dim_BMI!$A$2:$A$7,,1)</f>
        <v>5</v>
      </c>
      <c r="K980" t="str">
        <f>_xlfn.XLOOKUP(C980,dim_BMI!$C$2:$C$7,dim_BMI!$B$2:$B$7,,1)</f>
        <v>35 to 39.9 (Obesity Class 2)</v>
      </c>
    </row>
    <row r="981" spans="1:11" x14ac:dyDescent="0.25">
      <c r="A981" s="1">
        <v>1145</v>
      </c>
      <c r="B981">
        <v>50</v>
      </c>
      <c r="C981">
        <v>32.299999999999997</v>
      </c>
      <c r="D981">
        <v>2</v>
      </c>
      <c r="E981">
        <f t="shared" si="15"/>
        <v>0</v>
      </c>
      <c r="F981">
        <v>9630.3970000000008</v>
      </c>
      <c r="G981" t="s">
        <v>9</v>
      </c>
      <c r="H981" t="s">
        <v>11</v>
      </c>
      <c r="I981" t="s">
        <v>10</v>
      </c>
      <c r="J981">
        <f>_xlfn.XLOOKUP(C981,dim_BMI!$C$2:$C$7,dim_BMI!$A$2:$A$7,,1)</f>
        <v>4</v>
      </c>
      <c r="K981" t="str">
        <f>_xlfn.XLOOKUP(C981,dim_BMI!$C$2:$C$7,dim_BMI!$B$2:$B$7,,1)</f>
        <v>30.0 to 34.9 (Obesity Class 1)</v>
      </c>
    </row>
    <row r="982" spans="1:11" x14ac:dyDescent="0.25">
      <c r="A982" s="1">
        <v>1223</v>
      </c>
      <c r="B982">
        <v>50</v>
      </c>
      <c r="C982">
        <v>25.3</v>
      </c>
      <c r="D982">
        <v>0</v>
      </c>
      <c r="E982">
        <f t="shared" si="15"/>
        <v>0</v>
      </c>
      <c r="F982">
        <v>8442.6669999999995</v>
      </c>
      <c r="G982" t="s">
        <v>12</v>
      </c>
      <c r="H982" t="s">
        <v>11</v>
      </c>
      <c r="I982" t="s">
        <v>10</v>
      </c>
      <c r="J982">
        <f>_xlfn.XLOOKUP(C982,dim_BMI!$C$2:$C$7,dim_BMI!$A$2:$A$7,,1)</f>
        <v>3</v>
      </c>
      <c r="K982" t="str">
        <f>_xlfn.XLOOKUP(C982,dim_BMI!$C$2:$C$7,dim_BMI!$B$2:$B$7,,1)</f>
        <v>25.0 to 29.9 (Overweight)</v>
      </c>
    </row>
    <row r="983" spans="1:11" x14ac:dyDescent="0.25">
      <c r="A983" s="1">
        <v>1334</v>
      </c>
      <c r="B983">
        <v>50</v>
      </c>
      <c r="C983">
        <v>30.97</v>
      </c>
      <c r="D983">
        <v>3</v>
      </c>
      <c r="E983">
        <f t="shared" si="15"/>
        <v>0</v>
      </c>
      <c r="F983">
        <v>10600.5483</v>
      </c>
      <c r="G983" t="s">
        <v>13</v>
      </c>
      <c r="H983" t="s">
        <v>11</v>
      </c>
      <c r="I983" t="s">
        <v>10</v>
      </c>
      <c r="J983">
        <f>_xlfn.XLOOKUP(C983,dim_BMI!$C$2:$C$7,dim_BMI!$A$2:$A$7,,1)</f>
        <v>4</v>
      </c>
      <c r="K983" t="str">
        <f>_xlfn.XLOOKUP(C983,dim_BMI!$C$2:$C$7,dim_BMI!$B$2:$B$7,,1)</f>
        <v>30.0 to 34.9 (Obesity Class 1)</v>
      </c>
    </row>
    <row r="984" spans="1:11" x14ac:dyDescent="0.25">
      <c r="A984" s="1">
        <v>148</v>
      </c>
      <c r="B984">
        <v>51</v>
      </c>
      <c r="C984">
        <v>37.729999999999997</v>
      </c>
      <c r="D984">
        <v>1</v>
      </c>
      <c r="E984">
        <f t="shared" si="15"/>
        <v>0</v>
      </c>
      <c r="F984">
        <v>9877.6077000000005</v>
      </c>
      <c r="G984" t="s">
        <v>12</v>
      </c>
      <c r="H984" t="s">
        <v>11</v>
      </c>
      <c r="I984" t="s">
        <v>7</v>
      </c>
      <c r="J984">
        <f>_xlfn.XLOOKUP(C984,dim_BMI!$C$2:$C$7,dim_BMI!$A$2:$A$7,,1)</f>
        <v>5</v>
      </c>
      <c r="K984" t="str">
        <f>_xlfn.XLOOKUP(C984,dim_BMI!$C$2:$C$7,dim_BMI!$B$2:$B$7,,1)</f>
        <v>35 to 39.9 (Obesity Class 2)</v>
      </c>
    </row>
    <row r="985" spans="1:11" x14ac:dyDescent="0.25">
      <c r="A985" s="1">
        <v>199</v>
      </c>
      <c r="B985">
        <v>51</v>
      </c>
      <c r="C985">
        <v>18.05</v>
      </c>
      <c r="D985">
        <v>0</v>
      </c>
      <c r="E985">
        <f t="shared" si="15"/>
        <v>0</v>
      </c>
      <c r="F985">
        <v>9644.2525000000005</v>
      </c>
      <c r="G985" t="s">
        <v>13</v>
      </c>
      <c r="H985" t="s">
        <v>11</v>
      </c>
      <c r="I985" t="s">
        <v>7</v>
      </c>
      <c r="J985">
        <f>_xlfn.XLOOKUP(C985,dim_BMI!$C$2:$C$7,dim_BMI!$A$2:$A$7,,1)</f>
        <v>1</v>
      </c>
      <c r="K985" t="str">
        <f>_xlfn.XLOOKUP(C985,dim_BMI!$C$2:$C$7,dim_BMI!$B$2:$B$7,,1)</f>
        <v>18.49 or less (Underweight)</v>
      </c>
    </row>
    <row r="986" spans="1:11" x14ac:dyDescent="0.25">
      <c r="A986" s="1">
        <v>259</v>
      </c>
      <c r="B986">
        <v>51</v>
      </c>
      <c r="C986">
        <v>24.414999999999999</v>
      </c>
      <c r="D986">
        <v>4</v>
      </c>
      <c r="E986">
        <f t="shared" si="15"/>
        <v>0</v>
      </c>
      <c r="F986">
        <v>11520.099850000001</v>
      </c>
      <c r="G986" t="s">
        <v>13</v>
      </c>
      <c r="H986" t="s">
        <v>11</v>
      </c>
      <c r="I986" t="s">
        <v>10</v>
      </c>
      <c r="J986">
        <f>_xlfn.XLOOKUP(C986,dim_BMI!$C$2:$C$7,dim_BMI!$A$2:$A$7,,1)</f>
        <v>2</v>
      </c>
      <c r="K986" t="str">
        <f>_xlfn.XLOOKUP(C986,dim_BMI!$C$2:$C$7,dim_BMI!$B$2:$B$7,,1)</f>
        <v>18.5 to 24.9 (Healthy Weight)</v>
      </c>
    </row>
    <row r="987" spans="1:11" x14ac:dyDescent="0.25">
      <c r="A987" s="1">
        <v>280</v>
      </c>
      <c r="B987">
        <v>51</v>
      </c>
      <c r="C987">
        <v>21.56</v>
      </c>
      <c r="D987">
        <v>1</v>
      </c>
      <c r="E987">
        <f t="shared" si="15"/>
        <v>0</v>
      </c>
      <c r="F987">
        <v>9855.1314000000002</v>
      </c>
      <c r="G987" t="s">
        <v>12</v>
      </c>
      <c r="H987" t="s">
        <v>11</v>
      </c>
      <c r="I987" t="s">
        <v>7</v>
      </c>
      <c r="J987">
        <f>_xlfn.XLOOKUP(C987,dim_BMI!$C$2:$C$7,dim_BMI!$A$2:$A$7,,1)</f>
        <v>2</v>
      </c>
      <c r="K987" t="str">
        <f>_xlfn.XLOOKUP(C987,dim_BMI!$C$2:$C$7,dim_BMI!$B$2:$B$7,,1)</f>
        <v>18.5 to 24.9 (Healthy Weight)</v>
      </c>
    </row>
    <row r="988" spans="1:11" x14ac:dyDescent="0.25">
      <c r="A988" s="1">
        <v>401</v>
      </c>
      <c r="B988">
        <v>51</v>
      </c>
      <c r="C988">
        <v>20.6</v>
      </c>
      <c r="D988">
        <v>0</v>
      </c>
      <c r="E988">
        <f t="shared" si="15"/>
        <v>0</v>
      </c>
      <c r="F988">
        <v>9264.7970000000005</v>
      </c>
      <c r="G988" t="s">
        <v>9</v>
      </c>
      <c r="H988" t="s">
        <v>11</v>
      </c>
      <c r="I988" t="s">
        <v>7</v>
      </c>
      <c r="J988">
        <f>_xlfn.XLOOKUP(C988,dim_BMI!$C$2:$C$7,dim_BMI!$A$2:$A$7,,1)</f>
        <v>2</v>
      </c>
      <c r="K988" t="str">
        <f>_xlfn.XLOOKUP(C988,dim_BMI!$C$2:$C$7,dim_BMI!$B$2:$B$7,,1)</f>
        <v>18.5 to 24.9 (Healthy Weight)</v>
      </c>
    </row>
    <row r="989" spans="1:11" x14ac:dyDescent="0.25">
      <c r="A989" s="1">
        <v>484</v>
      </c>
      <c r="B989">
        <v>51</v>
      </c>
      <c r="C989">
        <v>39.5</v>
      </c>
      <c r="D989">
        <v>1</v>
      </c>
      <c r="E989">
        <f t="shared" si="15"/>
        <v>0</v>
      </c>
      <c r="F989">
        <v>9880.0679999999993</v>
      </c>
      <c r="G989" t="s">
        <v>9</v>
      </c>
      <c r="H989" t="s">
        <v>11</v>
      </c>
      <c r="I989" t="s">
        <v>7</v>
      </c>
      <c r="J989">
        <f>_xlfn.XLOOKUP(C989,dim_BMI!$C$2:$C$7,dim_BMI!$A$2:$A$7,,1)</f>
        <v>5</v>
      </c>
      <c r="K989" t="str">
        <f>_xlfn.XLOOKUP(C989,dim_BMI!$C$2:$C$7,dim_BMI!$B$2:$B$7,,1)</f>
        <v>35 to 39.9 (Obesity Class 2)</v>
      </c>
    </row>
    <row r="990" spans="1:11" x14ac:dyDescent="0.25">
      <c r="A990" s="1">
        <v>503</v>
      </c>
      <c r="B990">
        <v>51</v>
      </c>
      <c r="C990">
        <v>23.21</v>
      </c>
      <c r="D990">
        <v>1</v>
      </c>
      <c r="E990">
        <f t="shared" si="15"/>
        <v>1</v>
      </c>
      <c r="F990">
        <v>22218.1149</v>
      </c>
      <c r="G990" t="s">
        <v>12</v>
      </c>
      <c r="H990" t="s">
        <v>8</v>
      </c>
      <c r="I990" t="s">
        <v>10</v>
      </c>
      <c r="J990">
        <f>_xlfn.XLOOKUP(C990,dim_BMI!$C$2:$C$7,dim_BMI!$A$2:$A$7,,1)</f>
        <v>2</v>
      </c>
      <c r="K990" t="str">
        <f>_xlfn.XLOOKUP(C990,dim_BMI!$C$2:$C$7,dim_BMI!$B$2:$B$7,,1)</f>
        <v>18.5 to 24.9 (Healthy Weight)</v>
      </c>
    </row>
    <row r="991" spans="1:11" x14ac:dyDescent="0.25">
      <c r="A991" s="1">
        <v>513</v>
      </c>
      <c r="B991">
        <v>51</v>
      </c>
      <c r="C991">
        <v>22.42</v>
      </c>
      <c r="D991">
        <v>0</v>
      </c>
      <c r="E991">
        <f t="shared" si="15"/>
        <v>0</v>
      </c>
      <c r="F991">
        <v>9361.3268000000007</v>
      </c>
      <c r="G991" t="s">
        <v>14</v>
      </c>
      <c r="H991" t="s">
        <v>11</v>
      </c>
      <c r="I991" t="s">
        <v>10</v>
      </c>
      <c r="J991">
        <f>_xlfn.XLOOKUP(C991,dim_BMI!$C$2:$C$7,dim_BMI!$A$2:$A$7,,1)</f>
        <v>2</v>
      </c>
      <c r="K991" t="str">
        <f>_xlfn.XLOOKUP(C991,dim_BMI!$C$2:$C$7,dim_BMI!$B$2:$B$7,,1)</f>
        <v>18.5 to 24.9 (Healthy Weight)</v>
      </c>
    </row>
    <row r="992" spans="1:11" x14ac:dyDescent="0.25">
      <c r="A992" s="1">
        <v>523</v>
      </c>
      <c r="B992">
        <v>51</v>
      </c>
      <c r="C992">
        <v>33.914999999999999</v>
      </c>
      <c r="D992">
        <v>0</v>
      </c>
      <c r="E992">
        <f t="shared" si="15"/>
        <v>0</v>
      </c>
      <c r="F992">
        <v>9866.3048500000004</v>
      </c>
      <c r="G992" t="s">
        <v>14</v>
      </c>
      <c r="H992" t="s">
        <v>11</v>
      </c>
      <c r="I992" t="s">
        <v>7</v>
      </c>
      <c r="J992">
        <f>_xlfn.XLOOKUP(C992,dim_BMI!$C$2:$C$7,dim_BMI!$A$2:$A$7,,1)</f>
        <v>4</v>
      </c>
      <c r="K992" t="str">
        <f>_xlfn.XLOOKUP(C992,dim_BMI!$C$2:$C$7,dim_BMI!$B$2:$B$7,,1)</f>
        <v>30.0 to 34.9 (Obesity Class 1)</v>
      </c>
    </row>
    <row r="993" spans="1:11" x14ac:dyDescent="0.25">
      <c r="A993" s="1">
        <v>528</v>
      </c>
      <c r="B993">
        <v>51</v>
      </c>
      <c r="C993">
        <v>25.8</v>
      </c>
      <c r="D993">
        <v>1</v>
      </c>
      <c r="E993">
        <f t="shared" si="15"/>
        <v>0</v>
      </c>
      <c r="F993">
        <v>9861.0249999999996</v>
      </c>
      <c r="G993" t="s">
        <v>9</v>
      </c>
      <c r="H993" t="s">
        <v>11</v>
      </c>
      <c r="I993" t="s">
        <v>7</v>
      </c>
      <c r="J993">
        <f>_xlfn.XLOOKUP(C993,dim_BMI!$C$2:$C$7,dim_BMI!$A$2:$A$7,,1)</f>
        <v>3</v>
      </c>
      <c r="K993" t="str">
        <f>_xlfn.XLOOKUP(C993,dim_BMI!$C$2:$C$7,dim_BMI!$B$2:$B$7,,1)</f>
        <v>25.0 to 29.9 (Overweight)</v>
      </c>
    </row>
    <row r="994" spans="1:11" x14ac:dyDescent="0.25">
      <c r="A994" s="1">
        <v>602</v>
      </c>
      <c r="B994">
        <v>51</v>
      </c>
      <c r="C994">
        <v>31.635000000000002</v>
      </c>
      <c r="D994">
        <v>0</v>
      </c>
      <c r="E994">
        <f t="shared" si="15"/>
        <v>0</v>
      </c>
      <c r="F994">
        <v>9174.1356500000002</v>
      </c>
      <c r="G994" t="s">
        <v>13</v>
      </c>
      <c r="H994" t="s">
        <v>11</v>
      </c>
      <c r="I994" t="s">
        <v>10</v>
      </c>
      <c r="J994">
        <f>_xlfn.XLOOKUP(C994,dim_BMI!$C$2:$C$7,dim_BMI!$A$2:$A$7,,1)</f>
        <v>4</v>
      </c>
      <c r="K994" t="str">
        <f>_xlfn.XLOOKUP(C994,dim_BMI!$C$2:$C$7,dim_BMI!$B$2:$B$7,,1)</f>
        <v>30.0 to 34.9 (Obesity Class 1)</v>
      </c>
    </row>
    <row r="995" spans="1:11" x14ac:dyDescent="0.25">
      <c r="A995" s="1">
        <v>606</v>
      </c>
      <c r="B995">
        <v>51</v>
      </c>
      <c r="C995">
        <v>34.1</v>
      </c>
      <c r="D995">
        <v>0</v>
      </c>
      <c r="E995">
        <f t="shared" si="15"/>
        <v>0</v>
      </c>
      <c r="F995">
        <v>9283.5619999999999</v>
      </c>
      <c r="G995" t="s">
        <v>12</v>
      </c>
      <c r="H995" t="s">
        <v>11</v>
      </c>
      <c r="I995" t="s">
        <v>7</v>
      </c>
      <c r="J995">
        <f>_xlfn.XLOOKUP(C995,dim_BMI!$C$2:$C$7,dim_BMI!$A$2:$A$7,,1)</f>
        <v>4</v>
      </c>
      <c r="K995" t="str">
        <f>_xlfn.XLOOKUP(C995,dim_BMI!$C$2:$C$7,dim_BMI!$B$2:$B$7,,1)</f>
        <v>30.0 to 34.9 (Obesity Class 1)</v>
      </c>
    </row>
    <row r="996" spans="1:11" x14ac:dyDescent="0.25">
      <c r="A996" s="1">
        <v>635</v>
      </c>
      <c r="B996">
        <v>51</v>
      </c>
      <c r="C996">
        <v>39.700000000000003</v>
      </c>
      <c r="D996">
        <v>1</v>
      </c>
      <c r="E996">
        <f t="shared" si="15"/>
        <v>0</v>
      </c>
      <c r="F996">
        <v>9391.3459999999995</v>
      </c>
      <c r="G996" t="s">
        <v>9</v>
      </c>
      <c r="H996" t="s">
        <v>11</v>
      </c>
      <c r="I996" t="s">
        <v>10</v>
      </c>
      <c r="J996">
        <f>_xlfn.XLOOKUP(C996,dim_BMI!$C$2:$C$7,dim_BMI!$A$2:$A$7,,1)</f>
        <v>5</v>
      </c>
      <c r="K996" t="str">
        <f>_xlfn.XLOOKUP(C996,dim_BMI!$C$2:$C$7,dim_BMI!$B$2:$B$7,,1)</f>
        <v>35 to 39.9 (Obesity Class 2)</v>
      </c>
    </row>
    <row r="997" spans="1:11" x14ac:dyDescent="0.25">
      <c r="A997" s="1">
        <v>707</v>
      </c>
      <c r="B997">
        <v>51</v>
      </c>
      <c r="C997">
        <v>38.06</v>
      </c>
      <c r="D997">
        <v>0</v>
      </c>
      <c r="E997">
        <f t="shared" si="15"/>
        <v>1</v>
      </c>
      <c r="F997">
        <v>44400.4064</v>
      </c>
      <c r="G997" t="s">
        <v>12</v>
      </c>
      <c r="H997" t="s">
        <v>8</v>
      </c>
      <c r="I997" t="s">
        <v>7</v>
      </c>
      <c r="J997">
        <f>_xlfn.XLOOKUP(C997,dim_BMI!$C$2:$C$7,dim_BMI!$A$2:$A$7,,1)</f>
        <v>5</v>
      </c>
      <c r="K997" t="str">
        <f>_xlfn.XLOOKUP(C997,dim_BMI!$C$2:$C$7,dim_BMI!$B$2:$B$7,,1)</f>
        <v>35 to 39.9 (Obesity Class 2)</v>
      </c>
    </row>
    <row r="998" spans="1:11" x14ac:dyDescent="0.25">
      <c r="A998" s="1">
        <v>719</v>
      </c>
      <c r="B998">
        <v>51</v>
      </c>
      <c r="C998">
        <v>36.67</v>
      </c>
      <c r="D998">
        <v>2</v>
      </c>
      <c r="E998">
        <f t="shared" si="15"/>
        <v>0</v>
      </c>
      <c r="F998">
        <v>10848.1343</v>
      </c>
      <c r="G998" t="s">
        <v>13</v>
      </c>
      <c r="H998" t="s">
        <v>11</v>
      </c>
      <c r="I998" t="s">
        <v>7</v>
      </c>
      <c r="J998">
        <f>_xlfn.XLOOKUP(C998,dim_BMI!$C$2:$C$7,dim_BMI!$A$2:$A$7,,1)</f>
        <v>5</v>
      </c>
      <c r="K998" t="str">
        <f>_xlfn.XLOOKUP(C998,dim_BMI!$C$2:$C$7,dim_BMI!$B$2:$B$7,,1)</f>
        <v>35 to 39.9 (Obesity Class 2)</v>
      </c>
    </row>
    <row r="999" spans="1:11" x14ac:dyDescent="0.25">
      <c r="A999" s="1">
        <v>721</v>
      </c>
      <c r="B999">
        <v>51</v>
      </c>
      <c r="C999">
        <v>40.659999999999997</v>
      </c>
      <c r="D999">
        <v>0</v>
      </c>
      <c r="E999">
        <f t="shared" si="15"/>
        <v>0</v>
      </c>
      <c r="F999">
        <v>9875.6803999999993</v>
      </c>
      <c r="G999" t="s">
        <v>14</v>
      </c>
      <c r="H999" t="s">
        <v>11</v>
      </c>
      <c r="I999" t="s">
        <v>7</v>
      </c>
      <c r="J999">
        <f>_xlfn.XLOOKUP(C999,dim_BMI!$C$2:$C$7,dim_BMI!$A$2:$A$7,,1)</f>
        <v>6</v>
      </c>
      <c r="K999" t="str">
        <f>_xlfn.XLOOKUP(C999,dim_BMI!$C$2:$C$7,dim_BMI!$B$2:$B$7,,1)</f>
        <v>40 or higher (Severe Obesity Class 3)</v>
      </c>
    </row>
    <row r="1000" spans="1:11" x14ac:dyDescent="0.25">
      <c r="A1000" s="1">
        <v>776</v>
      </c>
      <c r="B1000">
        <v>51</v>
      </c>
      <c r="C1000">
        <v>33.33</v>
      </c>
      <c r="D1000">
        <v>3</v>
      </c>
      <c r="E1000">
        <f t="shared" si="15"/>
        <v>0</v>
      </c>
      <c r="F1000">
        <v>10560.4917</v>
      </c>
      <c r="G1000" t="s">
        <v>12</v>
      </c>
      <c r="H1000" t="s">
        <v>11</v>
      </c>
      <c r="I1000" t="s">
        <v>10</v>
      </c>
      <c r="J1000">
        <f>_xlfn.XLOOKUP(C1000,dim_BMI!$C$2:$C$7,dim_BMI!$A$2:$A$7,,1)</f>
        <v>4</v>
      </c>
      <c r="K1000" t="str">
        <f>_xlfn.XLOOKUP(C1000,dim_BMI!$C$2:$C$7,dim_BMI!$B$2:$B$7,,1)</f>
        <v>30.0 to 34.9 (Obesity Class 1)</v>
      </c>
    </row>
    <row r="1001" spans="1:11" x14ac:dyDescent="0.25">
      <c r="A1001" s="1">
        <v>783</v>
      </c>
      <c r="B1001">
        <v>51</v>
      </c>
      <c r="C1001">
        <v>35.97</v>
      </c>
      <c r="D1001">
        <v>1</v>
      </c>
      <c r="E1001">
        <f t="shared" si="15"/>
        <v>0</v>
      </c>
      <c r="F1001">
        <v>9386.1612999999998</v>
      </c>
      <c r="G1001" t="s">
        <v>12</v>
      </c>
      <c r="H1001" t="s">
        <v>11</v>
      </c>
      <c r="I1001" t="s">
        <v>10</v>
      </c>
      <c r="J1001">
        <f>_xlfn.XLOOKUP(C1001,dim_BMI!$C$2:$C$7,dim_BMI!$A$2:$A$7,,1)</f>
        <v>5</v>
      </c>
      <c r="K1001" t="str">
        <f>_xlfn.XLOOKUP(C1001,dim_BMI!$C$2:$C$7,dim_BMI!$B$2:$B$7,,1)</f>
        <v>35 to 39.9 (Obesity Class 2)</v>
      </c>
    </row>
    <row r="1002" spans="1:11" x14ac:dyDescent="0.25">
      <c r="A1002" s="1">
        <v>847</v>
      </c>
      <c r="B1002">
        <v>51</v>
      </c>
      <c r="C1002">
        <v>34.200000000000003</v>
      </c>
      <c r="D1002">
        <v>1</v>
      </c>
      <c r="E1002">
        <f t="shared" si="15"/>
        <v>0</v>
      </c>
      <c r="F1002">
        <v>9872.7009999999991</v>
      </c>
      <c r="G1002" t="s">
        <v>9</v>
      </c>
      <c r="H1002" t="s">
        <v>11</v>
      </c>
      <c r="I1002" t="s">
        <v>7</v>
      </c>
      <c r="J1002">
        <f>_xlfn.XLOOKUP(C1002,dim_BMI!$C$2:$C$7,dim_BMI!$A$2:$A$7,,1)</f>
        <v>4</v>
      </c>
      <c r="K1002" t="str">
        <f>_xlfn.XLOOKUP(C1002,dim_BMI!$C$2:$C$7,dim_BMI!$B$2:$B$7,,1)</f>
        <v>30.0 to 34.9 (Obesity Class 1)</v>
      </c>
    </row>
    <row r="1003" spans="1:11" x14ac:dyDescent="0.25">
      <c r="A1003" s="1">
        <v>865</v>
      </c>
      <c r="B1003">
        <v>51</v>
      </c>
      <c r="C1003">
        <v>25.4</v>
      </c>
      <c r="D1003">
        <v>0</v>
      </c>
      <c r="E1003">
        <f t="shared" si="15"/>
        <v>0</v>
      </c>
      <c r="F1003">
        <v>8782.4689999999991</v>
      </c>
      <c r="G1003" t="s">
        <v>9</v>
      </c>
      <c r="H1003" t="s">
        <v>11</v>
      </c>
      <c r="I1003" t="s">
        <v>10</v>
      </c>
      <c r="J1003">
        <f>_xlfn.XLOOKUP(C1003,dim_BMI!$C$2:$C$7,dim_BMI!$A$2:$A$7,,1)</f>
        <v>3</v>
      </c>
      <c r="K1003" t="str">
        <f>_xlfn.XLOOKUP(C1003,dim_BMI!$C$2:$C$7,dim_BMI!$B$2:$B$7,,1)</f>
        <v>25.0 to 29.9 (Overweight)</v>
      </c>
    </row>
    <row r="1004" spans="1:11" x14ac:dyDescent="0.25">
      <c r="A1004" s="1">
        <v>884</v>
      </c>
      <c r="B1004">
        <v>51</v>
      </c>
      <c r="C1004">
        <v>37.049999999999997</v>
      </c>
      <c r="D1004">
        <v>3</v>
      </c>
      <c r="E1004">
        <f t="shared" si="15"/>
        <v>1</v>
      </c>
      <c r="F1004">
        <v>46255.112500000003</v>
      </c>
      <c r="G1004" t="s">
        <v>14</v>
      </c>
      <c r="H1004" t="s">
        <v>8</v>
      </c>
      <c r="I1004" t="s">
        <v>7</v>
      </c>
      <c r="J1004">
        <f>_xlfn.XLOOKUP(C1004,dim_BMI!$C$2:$C$7,dim_BMI!$A$2:$A$7,,1)</f>
        <v>5</v>
      </c>
      <c r="K1004" t="str">
        <f>_xlfn.XLOOKUP(C1004,dim_BMI!$C$2:$C$7,dim_BMI!$B$2:$B$7,,1)</f>
        <v>35 to 39.9 (Obesity Class 2)</v>
      </c>
    </row>
    <row r="1005" spans="1:11" x14ac:dyDescent="0.25">
      <c r="A1005" s="1">
        <v>952</v>
      </c>
      <c r="B1005">
        <v>51</v>
      </c>
      <c r="C1005">
        <v>42.9</v>
      </c>
      <c r="D1005">
        <v>2</v>
      </c>
      <c r="E1005">
        <f t="shared" si="15"/>
        <v>1</v>
      </c>
      <c r="F1005">
        <v>47462.894</v>
      </c>
      <c r="G1005" t="s">
        <v>12</v>
      </c>
      <c r="H1005" t="s">
        <v>8</v>
      </c>
      <c r="I1005" t="s">
        <v>10</v>
      </c>
      <c r="J1005">
        <f>_xlfn.XLOOKUP(C1005,dim_BMI!$C$2:$C$7,dim_BMI!$A$2:$A$7,,1)</f>
        <v>6</v>
      </c>
      <c r="K1005" t="str">
        <f>_xlfn.XLOOKUP(C1005,dim_BMI!$C$2:$C$7,dim_BMI!$B$2:$B$7,,1)</f>
        <v>40 or higher (Severe Obesity Class 3)</v>
      </c>
    </row>
    <row r="1006" spans="1:11" x14ac:dyDescent="0.25">
      <c r="A1006" s="1">
        <v>967</v>
      </c>
      <c r="B1006">
        <v>51</v>
      </c>
      <c r="C1006">
        <v>24.795000000000002</v>
      </c>
      <c r="D1006">
        <v>2</v>
      </c>
      <c r="E1006">
        <f t="shared" si="15"/>
        <v>1</v>
      </c>
      <c r="F1006">
        <v>23967.38305</v>
      </c>
      <c r="G1006" t="s">
        <v>13</v>
      </c>
      <c r="H1006" t="s">
        <v>8</v>
      </c>
      <c r="I1006" t="s">
        <v>10</v>
      </c>
      <c r="J1006">
        <f>_xlfn.XLOOKUP(C1006,dim_BMI!$C$2:$C$7,dim_BMI!$A$2:$A$7,,1)</f>
        <v>2</v>
      </c>
      <c r="K1006" t="str">
        <f>_xlfn.XLOOKUP(C1006,dim_BMI!$C$2:$C$7,dim_BMI!$B$2:$B$7,,1)</f>
        <v>18.5 to 24.9 (Healthy Weight)</v>
      </c>
    </row>
    <row r="1007" spans="1:11" x14ac:dyDescent="0.25">
      <c r="A1007" s="1">
        <v>1010</v>
      </c>
      <c r="B1007">
        <v>51</v>
      </c>
      <c r="C1007">
        <v>27.74</v>
      </c>
      <c r="D1007">
        <v>1</v>
      </c>
      <c r="E1007">
        <f t="shared" si="15"/>
        <v>0</v>
      </c>
      <c r="F1007">
        <v>9957.7216000000008</v>
      </c>
      <c r="G1007" t="s">
        <v>14</v>
      </c>
      <c r="H1007" t="s">
        <v>11</v>
      </c>
      <c r="I1007" t="s">
        <v>10</v>
      </c>
      <c r="J1007">
        <f>_xlfn.XLOOKUP(C1007,dim_BMI!$C$2:$C$7,dim_BMI!$A$2:$A$7,,1)</f>
        <v>3</v>
      </c>
      <c r="K1007" t="str">
        <f>_xlfn.XLOOKUP(C1007,dim_BMI!$C$2:$C$7,dim_BMI!$B$2:$B$7,,1)</f>
        <v>25.0 to 29.9 (Overweight)</v>
      </c>
    </row>
    <row r="1008" spans="1:11" x14ac:dyDescent="0.25">
      <c r="A1008" s="1">
        <v>1021</v>
      </c>
      <c r="B1008">
        <v>51</v>
      </c>
      <c r="C1008">
        <v>37</v>
      </c>
      <c r="D1008">
        <v>0</v>
      </c>
      <c r="E1008">
        <f t="shared" si="15"/>
        <v>0</v>
      </c>
      <c r="F1008">
        <v>8798.5930000000008</v>
      </c>
      <c r="G1008" t="s">
        <v>9</v>
      </c>
      <c r="H1008" t="s">
        <v>11</v>
      </c>
      <c r="I1008" t="s">
        <v>10</v>
      </c>
      <c r="J1008">
        <f>_xlfn.XLOOKUP(C1008,dim_BMI!$C$2:$C$7,dim_BMI!$A$2:$A$7,,1)</f>
        <v>5</v>
      </c>
      <c r="K1008" t="str">
        <f>_xlfn.XLOOKUP(C1008,dim_BMI!$C$2:$C$7,dim_BMI!$B$2:$B$7,,1)</f>
        <v>35 to 39.9 (Obesity Class 2)</v>
      </c>
    </row>
    <row r="1009" spans="1:11" x14ac:dyDescent="0.25">
      <c r="A1009" s="1">
        <v>1097</v>
      </c>
      <c r="B1009">
        <v>51</v>
      </c>
      <c r="C1009">
        <v>34.96</v>
      </c>
      <c r="D1009">
        <v>2</v>
      </c>
      <c r="E1009">
        <f t="shared" si="15"/>
        <v>1</v>
      </c>
      <c r="F1009">
        <v>44641.197399999997</v>
      </c>
      <c r="G1009" t="s">
        <v>14</v>
      </c>
      <c r="H1009" t="s">
        <v>8</v>
      </c>
      <c r="I1009" t="s">
        <v>7</v>
      </c>
      <c r="J1009">
        <f>_xlfn.XLOOKUP(C1009,dim_BMI!$C$2:$C$7,dim_BMI!$A$2:$A$7,,1)</f>
        <v>5</v>
      </c>
      <c r="K1009" t="str">
        <f>_xlfn.XLOOKUP(C1009,dim_BMI!$C$2:$C$7,dim_BMI!$B$2:$B$7,,1)</f>
        <v>35 to 39.9 (Obesity Class 2)</v>
      </c>
    </row>
    <row r="1010" spans="1:11" x14ac:dyDescent="0.25">
      <c r="A1010" s="1">
        <v>1204</v>
      </c>
      <c r="B1010">
        <v>51</v>
      </c>
      <c r="C1010">
        <v>32.299999999999997</v>
      </c>
      <c r="D1010">
        <v>1</v>
      </c>
      <c r="E1010">
        <f t="shared" si="15"/>
        <v>0</v>
      </c>
      <c r="F1010">
        <v>9964.06</v>
      </c>
      <c r="G1010" t="s">
        <v>14</v>
      </c>
      <c r="H1010" t="s">
        <v>11</v>
      </c>
      <c r="I1010" t="s">
        <v>10</v>
      </c>
      <c r="J1010">
        <f>_xlfn.XLOOKUP(C1010,dim_BMI!$C$2:$C$7,dim_BMI!$A$2:$A$7,,1)</f>
        <v>4</v>
      </c>
      <c r="K1010" t="str">
        <f>_xlfn.XLOOKUP(C1010,dim_BMI!$C$2:$C$7,dim_BMI!$B$2:$B$7,,1)</f>
        <v>30.0 to 34.9 (Obesity Class 1)</v>
      </c>
    </row>
    <row r="1011" spans="1:11" x14ac:dyDescent="0.25">
      <c r="A1011" s="1">
        <v>1257</v>
      </c>
      <c r="B1011">
        <v>51</v>
      </c>
      <c r="C1011">
        <v>36.384999999999998</v>
      </c>
      <c r="D1011">
        <v>3</v>
      </c>
      <c r="E1011">
        <f t="shared" si="15"/>
        <v>0</v>
      </c>
      <c r="F1011">
        <v>11436.738149999999</v>
      </c>
      <c r="G1011" t="s">
        <v>13</v>
      </c>
      <c r="H1011" t="s">
        <v>11</v>
      </c>
      <c r="I1011" t="s">
        <v>7</v>
      </c>
      <c r="J1011">
        <f>_xlfn.XLOOKUP(C1011,dim_BMI!$C$2:$C$7,dim_BMI!$A$2:$A$7,,1)</f>
        <v>5</v>
      </c>
      <c r="K1011" t="str">
        <f>_xlfn.XLOOKUP(C1011,dim_BMI!$C$2:$C$7,dim_BMI!$B$2:$B$7,,1)</f>
        <v>35 to 39.9 (Obesity Class 2)</v>
      </c>
    </row>
    <row r="1012" spans="1:11" x14ac:dyDescent="0.25">
      <c r="A1012" s="1">
        <v>1328</v>
      </c>
      <c r="B1012">
        <v>51</v>
      </c>
      <c r="C1012">
        <v>30.03</v>
      </c>
      <c r="D1012">
        <v>1</v>
      </c>
      <c r="E1012">
        <f t="shared" si="15"/>
        <v>0</v>
      </c>
      <c r="F1012">
        <v>9377.9046999999991</v>
      </c>
      <c r="G1012" t="s">
        <v>12</v>
      </c>
      <c r="H1012" t="s">
        <v>11</v>
      </c>
      <c r="I1012" t="s">
        <v>10</v>
      </c>
      <c r="J1012">
        <f>_xlfn.XLOOKUP(C1012,dim_BMI!$C$2:$C$7,dim_BMI!$A$2:$A$7,,1)</f>
        <v>4</v>
      </c>
      <c r="K1012" t="str">
        <f>_xlfn.XLOOKUP(C1012,dim_BMI!$C$2:$C$7,dim_BMI!$B$2:$B$7,,1)</f>
        <v>30.0 to 34.9 (Obesity Class 1)</v>
      </c>
    </row>
    <row r="1013" spans="1:11" x14ac:dyDescent="0.25">
      <c r="A1013" s="1">
        <v>17</v>
      </c>
      <c r="B1013">
        <v>52</v>
      </c>
      <c r="C1013">
        <v>30.78</v>
      </c>
      <c r="D1013">
        <v>1</v>
      </c>
      <c r="E1013">
        <f t="shared" si="15"/>
        <v>0</v>
      </c>
      <c r="F1013">
        <v>10797.3362</v>
      </c>
      <c r="G1013" t="s">
        <v>14</v>
      </c>
      <c r="H1013" t="s">
        <v>11</v>
      </c>
      <c r="I1013" t="s">
        <v>7</v>
      </c>
      <c r="J1013">
        <f>_xlfn.XLOOKUP(C1013,dim_BMI!$C$2:$C$7,dim_BMI!$A$2:$A$7,,1)</f>
        <v>4</v>
      </c>
      <c r="K1013" t="str">
        <f>_xlfn.XLOOKUP(C1013,dim_BMI!$C$2:$C$7,dim_BMI!$B$2:$B$7,,1)</f>
        <v>30.0 to 34.9 (Obesity Class 1)</v>
      </c>
    </row>
    <row r="1014" spans="1:11" x14ac:dyDescent="0.25">
      <c r="A1014" s="1">
        <v>115</v>
      </c>
      <c r="B1014">
        <v>52</v>
      </c>
      <c r="C1014">
        <v>32.204999999999998</v>
      </c>
      <c r="D1014">
        <v>3</v>
      </c>
      <c r="E1014">
        <f t="shared" si="15"/>
        <v>0</v>
      </c>
      <c r="F1014">
        <v>11488.31695</v>
      </c>
      <c r="G1014" t="s">
        <v>14</v>
      </c>
      <c r="H1014" t="s">
        <v>11</v>
      </c>
      <c r="I1014" t="s">
        <v>10</v>
      </c>
      <c r="J1014">
        <f>_xlfn.XLOOKUP(C1014,dim_BMI!$C$2:$C$7,dim_BMI!$A$2:$A$7,,1)</f>
        <v>4</v>
      </c>
      <c r="K1014" t="str">
        <f>_xlfn.XLOOKUP(C1014,dim_BMI!$C$2:$C$7,dim_BMI!$B$2:$B$7,,1)</f>
        <v>30.0 to 34.9 (Obesity Class 1)</v>
      </c>
    </row>
    <row r="1015" spans="1:11" x14ac:dyDescent="0.25">
      <c r="A1015" s="1">
        <v>128</v>
      </c>
      <c r="B1015">
        <v>52</v>
      </c>
      <c r="C1015">
        <v>37.4</v>
      </c>
      <c r="D1015">
        <v>0</v>
      </c>
      <c r="E1015">
        <f t="shared" si="15"/>
        <v>0</v>
      </c>
      <c r="F1015">
        <v>9634.5380000000005</v>
      </c>
      <c r="G1015" t="s">
        <v>9</v>
      </c>
      <c r="H1015" t="s">
        <v>11</v>
      </c>
      <c r="I1015" t="s">
        <v>7</v>
      </c>
      <c r="J1015">
        <f>_xlfn.XLOOKUP(C1015,dim_BMI!$C$2:$C$7,dim_BMI!$A$2:$A$7,,1)</f>
        <v>5</v>
      </c>
      <c r="K1015" t="str">
        <f>_xlfn.XLOOKUP(C1015,dim_BMI!$C$2:$C$7,dim_BMI!$B$2:$B$7,,1)</f>
        <v>35 to 39.9 (Obesity Class 2)</v>
      </c>
    </row>
    <row r="1016" spans="1:11" x14ac:dyDescent="0.25">
      <c r="A1016" s="1">
        <v>263</v>
      </c>
      <c r="B1016">
        <v>52</v>
      </c>
      <c r="C1016">
        <v>24.32</v>
      </c>
      <c r="D1016">
        <v>3</v>
      </c>
      <c r="E1016">
        <f t="shared" si="15"/>
        <v>1</v>
      </c>
      <c r="F1016">
        <v>24869.836800000001</v>
      </c>
      <c r="G1016" t="s">
        <v>14</v>
      </c>
      <c r="H1016" t="s">
        <v>8</v>
      </c>
      <c r="I1016" t="s">
        <v>10</v>
      </c>
      <c r="J1016">
        <f>_xlfn.XLOOKUP(C1016,dim_BMI!$C$2:$C$7,dim_BMI!$A$2:$A$7,,1)</f>
        <v>2</v>
      </c>
      <c r="K1016" t="str">
        <f>_xlfn.XLOOKUP(C1016,dim_BMI!$C$2:$C$7,dim_BMI!$B$2:$B$7,,1)</f>
        <v>18.5 to 24.9 (Healthy Weight)</v>
      </c>
    </row>
    <row r="1017" spans="1:11" x14ac:dyDescent="0.25">
      <c r="A1017" s="1">
        <v>285</v>
      </c>
      <c r="B1017">
        <v>52</v>
      </c>
      <c r="C1017">
        <v>31.2</v>
      </c>
      <c r="D1017">
        <v>0</v>
      </c>
      <c r="E1017">
        <f t="shared" si="15"/>
        <v>0</v>
      </c>
      <c r="F1017">
        <v>9625.92</v>
      </c>
      <c r="G1017" t="s">
        <v>9</v>
      </c>
      <c r="H1017" t="s">
        <v>11</v>
      </c>
      <c r="I1017" t="s">
        <v>7</v>
      </c>
      <c r="J1017">
        <f>_xlfn.XLOOKUP(C1017,dim_BMI!$C$2:$C$7,dim_BMI!$A$2:$A$7,,1)</f>
        <v>4</v>
      </c>
      <c r="K1017" t="str">
        <f>_xlfn.XLOOKUP(C1017,dim_BMI!$C$2:$C$7,dim_BMI!$B$2:$B$7,,1)</f>
        <v>30.0 to 34.9 (Obesity Class 1)</v>
      </c>
    </row>
    <row r="1018" spans="1:11" x14ac:dyDescent="0.25">
      <c r="A1018" s="1">
        <v>290</v>
      </c>
      <c r="B1018">
        <v>52</v>
      </c>
      <c r="C1018">
        <v>26.4</v>
      </c>
      <c r="D1018">
        <v>3</v>
      </c>
      <c r="E1018">
        <f t="shared" si="15"/>
        <v>0</v>
      </c>
      <c r="F1018">
        <v>25992.821039999999</v>
      </c>
      <c r="G1018" t="s">
        <v>12</v>
      </c>
      <c r="H1018" t="s">
        <v>11</v>
      </c>
      <c r="I1018" t="s">
        <v>10</v>
      </c>
      <c r="J1018">
        <f>_xlfn.XLOOKUP(C1018,dim_BMI!$C$2:$C$7,dim_BMI!$A$2:$A$7,,1)</f>
        <v>3</v>
      </c>
      <c r="K1018" t="str">
        <f>_xlfn.XLOOKUP(C1018,dim_BMI!$C$2:$C$7,dim_BMI!$B$2:$B$7,,1)</f>
        <v>25.0 to 29.9 (Overweight)</v>
      </c>
    </row>
    <row r="1019" spans="1:11" x14ac:dyDescent="0.25">
      <c r="A1019" s="1">
        <v>316</v>
      </c>
      <c r="B1019">
        <v>52</v>
      </c>
      <c r="C1019">
        <v>33.25</v>
      </c>
      <c r="D1019">
        <v>0</v>
      </c>
      <c r="E1019">
        <f t="shared" si="15"/>
        <v>0</v>
      </c>
      <c r="F1019">
        <v>9722.7695000000003</v>
      </c>
      <c r="G1019" t="s">
        <v>14</v>
      </c>
      <c r="H1019" t="s">
        <v>11</v>
      </c>
      <c r="I1019" t="s">
        <v>10</v>
      </c>
      <c r="J1019">
        <f>_xlfn.XLOOKUP(C1019,dim_BMI!$C$2:$C$7,dim_BMI!$A$2:$A$7,,1)</f>
        <v>4</v>
      </c>
      <c r="K1019" t="str">
        <f>_xlfn.XLOOKUP(C1019,dim_BMI!$C$2:$C$7,dim_BMI!$B$2:$B$7,,1)</f>
        <v>30.0 to 34.9 (Obesity Class 1)</v>
      </c>
    </row>
    <row r="1020" spans="1:11" x14ac:dyDescent="0.25">
      <c r="A1020" s="1">
        <v>330</v>
      </c>
      <c r="B1020">
        <v>52</v>
      </c>
      <c r="C1020">
        <v>36.700000000000003</v>
      </c>
      <c r="D1020">
        <v>0</v>
      </c>
      <c r="E1020">
        <f t="shared" si="15"/>
        <v>0</v>
      </c>
      <c r="F1020">
        <v>9144.5650000000005</v>
      </c>
      <c r="G1020" t="s">
        <v>9</v>
      </c>
      <c r="H1020" t="s">
        <v>11</v>
      </c>
      <c r="I1020" t="s">
        <v>10</v>
      </c>
      <c r="J1020">
        <f>_xlfn.XLOOKUP(C1020,dim_BMI!$C$2:$C$7,dim_BMI!$A$2:$A$7,,1)</f>
        <v>5</v>
      </c>
      <c r="K1020" t="str">
        <f>_xlfn.XLOOKUP(C1020,dim_BMI!$C$2:$C$7,dim_BMI!$B$2:$B$7,,1)</f>
        <v>35 to 39.9 (Obesity Class 2)</v>
      </c>
    </row>
    <row r="1021" spans="1:11" x14ac:dyDescent="0.25">
      <c r="A1021" s="1">
        <v>332</v>
      </c>
      <c r="B1021">
        <v>52</v>
      </c>
      <c r="C1021">
        <v>27.36</v>
      </c>
      <c r="D1021">
        <v>0</v>
      </c>
      <c r="E1021">
        <f t="shared" si="15"/>
        <v>1</v>
      </c>
      <c r="F1021">
        <v>24393.6224</v>
      </c>
      <c r="G1021" t="s">
        <v>13</v>
      </c>
      <c r="H1021" t="s">
        <v>8</v>
      </c>
      <c r="I1021" t="s">
        <v>10</v>
      </c>
      <c r="J1021">
        <f>_xlfn.XLOOKUP(C1021,dim_BMI!$C$2:$C$7,dim_BMI!$A$2:$A$7,,1)</f>
        <v>3</v>
      </c>
      <c r="K1021" t="str">
        <f>_xlfn.XLOOKUP(C1021,dim_BMI!$C$2:$C$7,dim_BMI!$B$2:$B$7,,1)</f>
        <v>25.0 to 29.9 (Overweight)</v>
      </c>
    </row>
    <row r="1022" spans="1:11" x14ac:dyDescent="0.25">
      <c r="A1022" s="1">
        <v>406</v>
      </c>
      <c r="B1022">
        <v>52</v>
      </c>
      <c r="C1022">
        <v>38.380000000000003</v>
      </c>
      <c r="D1022">
        <v>2</v>
      </c>
      <c r="E1022">
        <f t="shared" si="15"/>
        <v>0</v>
      </c>
      <c r="F1022">
        <v>11396.9002</v>
      </c>
      <c r="G1022" t="s">
        <v>14</v>
      </c>
      <c r="H1022" t="s">
        <v>11</v>
      </c>
      <c r="I1022" t="s">
        <v>7</v>
      </c>
      <c r="J1022">
        <f>_xlfn.XLOOKUP(C1022,dim_BMI!$C$2:$C$7,dim_BMI!$A$2:$A$7,,1)</f>
        <v>5</v>
      </c>
      <c r="K1022" t="str">
        <f>_xlfn.XLOOKUP(C1022,dim_BMI!$C$2:$C$7,dim_BMI!$B$2:$B$7,,1)</f>
        <v>35 to 39.9 (Obesity Class 2)</v>
      </c>
    </row>
    <row r="1023" spans="1:11" x14ac:dyDescent="0.25">
      <c r="A1023" s="1">
        <v>417</v>
      </c>
      <c r="B1023">
        <v>52</v>
      </c>
      <c r="C1023">
        <v>34.1</v>
      </c>
      <c r="D1023">
        <v>0</v>
      </c>
      <c r="E1023">
        <f t="shared" si="15"/>
        <v>0</v>
      </c>
      <c r="F1023">
        <v>9140.9509999999991</v>
      </c>
      <c r="G1023" t="s">
        <v>12</v>
      </c>
      <c r="H1023" t="s">
        <v>11</v>
      </c>
      <c r="I1023" t="s">
        <v>10</v>
      </c>
      <c r="J1023">
        <f>_xlfn.XLOOKUP(C1023,dim_BMI!$C$2:$C$7,dim_BMI!$A$2:$A$7,,1)</f>
        <v>4</v>
      </c>
      <c r="K1023" t="str">
        <f>_xlfn.XLOOKUP(C1023,dim_BMI!$C$2:$C$7,dim_BMI!$B$2:$B$7,,1)</f>
        <v>30.0 to 34.9 (Obesity Class 1)</v>
      </c>
    </row>
    <row r="1024" spans="1:11" x14ac:dyDescent="0.25">
      <c r="A1024" s="1">
        <v>439</v>
      </c>
      <c r="B1024">
        <v>52</v>
      </c>
      <c r="C1024">
        <v>46.75</v>
      </c>
      <c r="D1024">
        <v>5</v>
      </c>
      <c r="E1024">
        <f t="shared" si="15"/>
        <v>0</v>
      </c>
      <c r="F1024">
        <v>12592.5345</v>
      </c>
      <c r="G1024" t="s">
        <v>12</v>
      </c>
      <c r="H1024" t="s">
        <v>11</v>
      </c>
      <c r="I1024" t="s">
        <v>7</v>
      </c>
      <c r="J1024">
        <f>_xlfn.XLOOKUP(C1024,dim_BMI!$C$2:$C$7,dim_BMI!$A$2:$A$7,,1)</f>
        <v>6</v>
      </c>
      <c r="K1024" t="str">
        <f>_xlfn.XLOOKUP(C1024,dim_BMI!$C$2:$C$7,dim_BMI!$B$2:$B$7,,1)</f>
        <v>40 or higher (Severe Obesity Class 3)</v>
      </c>
    </row>
    <row r="1025" spans="1:11" x14ac:dyDescent="0.25">
      <c r="A1025" s="1">
        <v>554</v>
      </c>
      <c r="B1025">
        <v>52</v>
      </c>
      <c r="C1025">
        <v>31.73</v>
      </c>
      <c r="D1025">
        <v>2</v>
      </c>
      <c r="E1025">
        <f t="shared" si="15"/>
        <v>0</v>
      </c>
      <c r="F1025">
        <v>11187.6567</v>
      </c>
      <c r="G1025" t="s">
        <v>13</v>
      </c>
      <c r="H1025" t="s">
        <v>11</v>
      </c>
      <c r="I1025" t="s">
        <v>7</v>
      </c>
      <c r="J1025">
        <f>_xlfn.XLOOKUP(C1025,dim_BMI!$C$2:$C$7,dim_BMI!$A$2:$A$7,,1)</f>
        <v>4</v>
      </c>
      <c r="K1025" t="str">
        <f>_xlfn.XLOOKUP(C1025,dim_BMI!$C$2:$C$7,dim_BMI!$B$2:$B$7,,1)</f>
        <v>30.0 to 34.9 (Obesity Class 1)</v>
      </c>
    </row>
    <row r="1026" spans="1:11" x14ac:dyDescent="0.25">
      <c r="A1026" s="1">
        <v>579</v>
      </c>
      <c r="B1026">
        <v>52</v>
      </c>
      <c r="C1026">
        <v>30.2</v>
      </c>
      <c r="D1026">
        <v>1</v>
      </c>
      <c r="E1026">
        <f t="shared" si="15"/>
        <v>0</v>
      </c>
      <c r="F1026">
        <v>9724.5300000000007</v>
      </c>
      <c r="G1026" t="s">
        <v>9</v>
      </c>
      <c r="H1026" t="s">
        <v>11</v>
      </c>
      <c r="I1026" t="s">
        <v>10</v>
      </c>
      <c r="J1026">
        <f>_xlfn.XLOOKUP(C1026,dim_BMI!$C$2:$C$7,dim_BMI!$A$2:$A$7,,1)</f>
        <v>4</v>
      </c>
      <c r="K1026" t="str">
        <f>_xlfn.XLOOKUP(C1026,dim_BMI!$C$2:$C$7,dim_BMI!$B$2:$B$7,,1)</f>
        <v>30.0 to 34.9 (Obesity Class 1)</v>
      </c>
    </row>
    <row r="1027" spans="1:11" x14ac:dyDescent="0.25">
      <c r="A1027" s="1">
        <v>600</v>
      </c>
      <c r="B1027">
        <v>52</v>
      </c>
      <c r="C1027">
        <v>37.524999999999999</v>
      </c>
      <c r="D1027">
        <v>2</v>
      </c>
      <c r="E1027">
        <f t="shared" ref="E1027:E1090" si="16">IF(H1027="yes",1,0)</f>
        <v>0</v>
      </c>
      <c r="F1027">
        <v>33471.971890000001</v>
      </c>
      <c r="G1027" t="s">
        <v>13</v>
      </c>
      <c r="H1027" t="s">
        <v>11</v>
      </c>
      <c r="I1027" t="s">
        <v>7</v>
      </c>
      <c r="J1027">
        <f>_xlfn.XLOOKUP(C1027,dim_BMI!$C$2:$C$7,dim_BMI!$A$2:$A$7,,1)</f>
        <v>5</v>
      </c>
      <c r="K1027" t="str">
        <f>_xlfn.XLOOKUP(C1027,dim_BMI!$C$2:$C$7,dim_BMI!$B$2:$B$7,,1)</f>
        <v>35 to 39.9 (Obesity Class 2)</v>
      </c>
    </row>
    <row r="1028" spans="1:11" x14ac:dyDescent="0.25">
      <c r="A1028" s="1">
        <v>656</v>
      </c>
      <c r="B1028">
        <v>52</v>
      </c>
      <c r="C1028">
        <v>25.3</v>
      </c>
      <c r="D1028">
        <v>2</v>
      </c>
      <c r="E1028">
        <f t="shared" si="16"/>
        <v>1</v>
      </c>
      <c r="F1028">
        <v>24667.419000000002</v>
      </c>
      <c r="G1028" t="s">
        <v>12</v>
      </c>
      <c r="H1028" t="s">
        <v>8</v>
      </c>
      <c r="I1028" t="s">
        <v>7</v>
      </c>
      <c r="J1028">
        <f>_xlfn.XLOOKUP(C1028,dim_BMI!$C$2:$C$7,dim_BMI!$A$2:$A$7,,1)</f>
        <v>3</v>
      </c>
      <c r="K1028" t="str">
        <f>_xlfn.XLOOKUP(C1028,dim_BMI!$C$2:$C$7,dim_BMI!$B$2:$B$7,,1)</f>
        <v>25.0 to 29.9 (Overweight)</v>
      </c>
    </row>
    <row r="1029" spans="1:11" x14ac:dyDescent="0.25">
      <c r="A1029" s="1">
        <v>965</v>
      </c>
      <c r="B1029">
        <v>52</v>
      </c>
      <c r="C1029">
        <v>36.765000000000001</v>
      </c>
      <c r="D1029">
        <v>2</v>
      </c>
      <c r="E1029">
        <f t="shared" si="16"/>
        <v>0</v>
      </c>
      <c r="F1029">
        <v>26467.09737</v>
      </c>
      <c r="G1029" t="s">
        <v>13</v>
      </c>
      <c r="H1029" t="s">
        <v>11</v>
      </c>
      <c r="I1029" t="s">
        <v>10</v>
      </c>
      <c r="J1029">
        <f>_xlfn.XLOOKUP(C1029,dim_BMI!$C$2:$C$7,dim_BMI!$A$2:$A$7,,1)</f>
        <v>5</v>
      </c>
      <c r="K1029" t="str">
        <f>_xlfn.XLOOKUP(C1029,dim_BMI!$C$2:$C$7,dim_BMI!$B$2:$B$7,,1)</f>
        <v>35 to 39.9 (Obesity Class 2)</v>
      </c>
    </row>
    <row r="1030" spans="1:11" x14ac:dyDescent="0.25">
      <c r="A1030" s="1">
        <v>1089</v>
      </c>
      <c r="B1030">
        <v>52</v>
      </c>
      <c r="C1030">
        <v>47.74</v>
      </c>
      <c r="D1030">
        <v>1</v>
      </c>
      <c r="E1030">
        <f t="shared" si="16"/>
        <v>0</v>
      </c>
      <c r="F1030">
        <v>9748.9105999999992</v>
      </c>
      <c r="G1030" t="s">
        <v>12</v>
      </c>
      <c r="H1030" t="s">
        <v>11</v>
      </c>
      <c r="I1030" t="s">
        <v>10</v>
      </c>
      <c r="J1030">
        <f>_xlfn.XLOOKUP(C1030,dim_BMI!$C$2:$C$7,dim_BMI!$A$2:$A$7,,1)</f>
        <v>6</v>
      </c>
      <c r="K1030" t="str">
        <f>_xlfn.XLOOKUP(C1030,dim_BMI!$C$2:$C$7,dim_BMI!$B$2:$B$7,,1)</f>
        <v>40 or higher (Severe Obesity Class 3)</v>
      </c>
    </row>
    <row r="1031" spans="1:11" x14ac:dyDescent="0.25">
      <c r="A1031" s="1">
        <v>1099</v>
      </c>
      <c r="B1031">
        <v>52</v>
      </c>
      <c r="C1031">
        <v>30.875</v>
      </c>
      <c r="D1031">
        <v>0</v>
      </c>
      <c r="E1031">
        <f t="shared" si="16"/>
        <v>0</v>
      </c>
      <c r="F1031">
        <v>23045.566159999998</v>
      </c>
      <c r="G1031" t="s">
        <v>14</v>
      </c>
      <c r="H1031" t="s">
        <v>11</v>
      </c>
      <c r="I1031" t="s">
        <v>7</v>
      </c>
      <c r="J1031">
        <f>_xlfn.XLOOKUP(C1031,dim_BMI!$C$2:$C$7,dim_BMI!$A$2:$A$7,,1)</f>
        <v>4</v>
      </c>
      <c r="K1031" t="str">
        <f>_xlfn.XLOOKUP(C1031,dim_BMI!$C$2:$C$7,dim_BMI!$B$2:$B$7,,1)</f>
        <v>30.0 to 34.9 (Obesity Class 1)</v>
      </c>
    </row>
    <row r="1032" spans="1:11" x14ac:dyDescent="0.25">
      <c r="A1032" s="1">
        <v>1134</v>
      </c>
      <c r="B1032">
        <v>52</v>
      </c>
      <c r="C1032">
        <v>18.335000000000001</v>
      </c>
      <c r="D1032">
        <v>0</v>
      </c>
      <c r="E1032">
        <f t="shared" si="16"/>
        <v>0</v>
      </c>
      <c r="F1032">
        <v>9991.0376500000002</v>
      </c>
      <c r="G1032" t="s">
        <v>13</v>
      </c>
      <c r="H1032" t="s">
        <v>11</v>
      </c>
      <c r="I1032" t="s">
        <v>7</v>
      </c>
      <c r="J1032">
        <f>_xlfn.XLOOKUP(C1032,dim_BMI!$C$2:$C$7,dim_BMI!$A$2:$A$7,,1)</f>
        <v>1</v>
      </c>
      <c r="K1032" t="str">
        <f>_xlfn.XLOOKUP(C1032,dim_BMI!$C$2:$C$7,dim_BMI!$B$2:$B$7,,1)</f>
        <v>18.49 or less (Underweight)</v>
      </c>
    </row>
    <row r="1033" spans="1:11" x14ac:dyDescent="0.25">
      <c r="A1033" s="1">
        <v>1143</v>
      </c>
      <c r="B1033">
        <v>52</v>
      </c>
      <c r="C1033">
        <v>24.86</v>
      </c>
      <c r="D1033">
        <v>0</v>
      </c>
      <c r="E1033">
        <f t="shared" si="16"/>
        <v>0</v>
      </c>
      <c r="F1033">
        <v>27117.993780000001</v>
      </c>
      <c r="G1033" t="s">
        <v>12</v>
      </c>
      <c r="H1033" t="s">
        <v>11</v>
      </c>
      <c r="I1033" t="s">
        <v>7</v>
      </c>
      <c r="J1033">
        <f>_xlfn.XLOOKUP(C1033,dim_BMI!$C$2:$C$7,dim_BMI!$A$2:$A$7,,1)</f>
        <v>2</v>
      </c>
      <c r="K1033" t="str">
        <f>_xlfn.XLOOKUP(C1033,dim_BMI!$C$2:$C$7,dim_BMI!$B$2:$B$7,,1)</f>
        <v>18.5 to 24.9 (Healthy Weight)</v>
      </c>
    </row>
    <row r="1034" spans="1:11" x14ac:dyDescent="0.25">
      <c r="A1034" s="1">
        <v>1146</v>
      </c>
      <c r="B1034">
        <v>52</v>
      </c>
      <c r="C1034">
        <v>32.774999999999999</v>
      </c>
      <c r="D1034">
        <v>3</v>
      </c>
      <c r="E1034">
        <f t="shared" si="16"/>
        <v>0</v>
      </c>
      <c r="F1034">
        <v>11289.10925</v>
      </c>
      <c r="G1034" t="s">
        <v>13</v>
      </c>
      <c r="H1034" t="s">
        <v>11</v>
      </c>
      <c r="I1034" t="s">
        <v>10</v>
      </c>
      <c r="J1034">
        <f>_xlfn.XLOOKUP(C1034,dim_BMI!$C$2:$C$7,dim_BMI!$A$2:$A$7,,1)</f>
        <v>4</v>
      </c>
      <c r="K1034" t="str">
        <f>_xlfn.XLOOKUP(C1034,dim_BMI!$C$2:$C$7,dim_BMI!$B$2:$B$7,,1)</f>
        <v>30.0 to 34.9 (Obesity Class 1)</v>
      </c>
    </row>
    <row r="1035" spans="1:11" x14ac:dyDescent="0.25">
      <c r="A1035" s="1">
        <v>1177</v>
      </c>
      <c r="B1035">
        <v>52</v>
      </c>
      <c r="C1035">
        <v>24.13</v>
      </c>
      <c r="D1035">
        <v>1</v>
      </c>
      <c r="E1035">
        <f t="shared" si="16"/>
        <v>1</v>
      </c>
      <c r="F1035">
        <v>23887.662700000001</v>
      </c>
      <c r="G1035" t="s">
        <v>13</v>
      </c>
      <c r="H1035" t="s">
        <v>8</v>
      </c>
      <c r="I1035" t="s">
        <v>7</v>
      </c>
      <c r="J1035">
        <f>_xlfn.XLOOKUP(C1035,dim_BMI!$C$2:$C$7,dim_BMI!$A$2:$A$7,,1)</f>
        <v>2</v>
      </c>
      <c r="K1035" t="str">
        <f>_xlfn.XLOOKUP(C1035,dim_BMI!$C$2:$C$7,dim_BMI!$B$2:$B$7,,1)</f>
        <v>18.5 to 24.9 (Healthy Weight)</v>
      </c>
    </row>
    <row r="1036" spans="1:11" x14ac:dyDescent="0.25">
      <c r="A1036" s="1">
        <v>1214</v>
      </c>
      <c r="B1036">
        <v>52</v>
      </c>
      <c r="C1036">
        <v>33.299999999999997</v>
      </c>
      <c r="D1036">
        <v>2</v>
      </c>
      <c r="E1036">
        <f t="shared" si="16"/>
        <v>0</v>
      </c>
      <c r="F1036">
        <v>10806.839</v>
      </c>
      <c r="G1036" t="s">
        <v>9</v>
      </c>
      <c r="H1036" t="s">
        <v>11</v>
      </c>
      <c r="I1036" t="s">
        <v>7</v>
      </c>
      <c r="J1036">
        <f>_xlfn.XLOOKUP(C1036,dim_BMI!$C$2:$C$7,dim_BMI!$A$2:$A$7,,1)</f>
        <v>4</v>
      </c>
      <c r="K1036" t="str">
        <f>_xlfn.XLOOKUP(C1036,dim_BMI!$C$2:$C$7,dim_BMI!$B$2:$B$7,,1)</f>
        <v>30.0 to 34.9 (Obesity Class 1)</v>
      </c>
    </row>
    <row r="1037" spans="1:11" x14ac:dyDescent="0.25">
      <c r="A1037" s="1">
        <v>1231</v>
      </c>
      <c r="B1037">
        <v>52</v>
      </c>
      <c r="C1037">
        <v>34.484999999999999</v>
      </c>
      <c r="D1037">
        <v>3</v>
      </c>
      <c r="E1037">
        <f t="shared" si="16"/>
        <v>1</v>
      </c>
      <c r="F1037">
        <v>60021.398970000002</v>
      </c>
      <c r="G1037" t="s">
        <v>13</v>
      </c>
      <c r="H1037" t="s">
        <v>8</v>
      </c>
      <c r="I1037" t="s">
        <v>10</v>
      </c>
      <c r="J1037">
        <f>_xlfn.XLOOKUP(C1037,dim_BMI!$C$2:$C$7,dim_BMI!$A$2:$A$7,,1)</f>
        <v>4</v>
      </c>
      <c r="K1037" t="str">
        <f>_xlfn.XLOOKUP(C1037,dim_BMI!$C$2:$C$7,dim_BMI!$B$2:$B$7,,1)</f>
        <v>30.0 to 34.9 (Obesity Class 1)</v>
      </c>
    </row>
    <row r="1038" spans="1:11" x14ac:dyDescent="0.25">
      <c r="A1038" s="1">
        <v>1241</v>
      </c>
      <c r="B1038">
        <v>52</v>
      </c>
      <c r="C1038">
        <v>41.8</v>
      </c>
      <c r="D1038">
        <v>2</v>
      </c>
      <c r="E1038">
        <f t="shared" si="16"/>
        <v>1</v>
      </c>
      <c r="F1038">
        <v>47269.853999999999</v>
      </c>
      <c r="G1038" t="s">
        <v>12</v>
      </c>
      <c r="H1038" t="s">
        <v>8</v>
      </c>
      <c r="I1038" t="s">
        <v>10</v>
      </c>
      <c r="J1038">
        <f>_xlfn.XLOOKUP(C1038,dim_BMI!$C$2:$C$7,dim_BMI!$A$2:$A$7,,1)</f>
        <v>6</v>
      </c>
      <c r="K1038" t="str">
        <f>_xlfn.XLOOKUP(C1038,dim_BMI!$C$2:$C$7,dim_BMI!$B$2:$B$7,,1)</f>
        <v>40 or higher (Severe Obesity Class 3)</v>
      </c>
    </row>
    <row r="1039" spans="1:11" x14ac:dyDescent="0.25">
      <c r="A1039" s="1">
        <v>1260</v>
      </c>
      <c r="B1039">
        <v>52</v>
      </c>
      <c r="C1039">
        <v>23.18</v>
      </c>
      <c r="D1039">
        <v>0</v>
      </c>
      <c r="E1039">
        <f t="shared" si="16"/>
        <v>0</v>
      </c>
      <c r="F1039">
        <v>10197.772199999999</v>
      </c>
      <c r="G1039" t="s">
        <v>14</v>
      </c>
      <c r="H1039" t="s">
        <v>11</v>
      </c>
      <c r="I1039" t="s">
        <v>7</v>
      </c>
      <c r="J1039">
        <f>_xlfn.XLOOKUP(C1039,dim_BMI!$C$2:$C$7,dim_BMI!$A$2:$A$7,,1)</f>
        <v>2</v>
      </c>
      <c r="K1039" t="str">
        <f>_xlfn.XLOOKUP(C1039,dim_BMI!$C$2:$C$7,dim_BMI!$B$2:$B$7,,1)</f>
        <v>18.5 to 24.9 (Healthy Weight)</v>
      </c>
    </row>
    <row r="1040" spans="1:11" x14ac:dyDescent="0.25">
      <c r="A1040" s="1">
        <v>1330</v>
      </c>
      <c r="B1040">
        <v>52</v>
      </c>
      <c r="C1040">
        <v>38.6</v>
      </c>
      <c r="D1040">
        <v>2</v>
      </c>
      <c r="E1040">
        <f t="shared" si="16"/>
        <v>0</v>
      </c>
      <c r="F1040">
        <v>10325.206</v>
      </c>
      <c r="G1040" t="s">
        <v>9</v>
      </c>
      <c r="H1040" t="s">
        <v>11</v>
      </c>
      <c r="I1040" t="s">
        <v>10</v>
      </c>
      <c r="J1040">
        <f>_xlfn.XLOOKUP(C1040,dim_BMI!$C$2:$C$7,dim_BMI!$A$2:$A$7,,1)</f>
        <v>5</v>
      </c>
      <c r="K1040" t="str">
        <f>_xlfn.XLOOKUP(C1040,dim_BMI!$C$2:$C$7,dim_BMI!$B$2:$B$7,,1)</f>
        <v>35 to 39.9 (Obesity Class 2)</v>
      </c>
    </row>
    <row r="1041" spans="1:11" x14ac:dyDescent="0.25">
      <c r="A1041" s="1">
        <v>1333</v>
      </c>
      <c r="B1041">
        <v>52</v>
      </c>
      <c r="C1041">
        <v>44.7</v>
      </c>
      <c r="D1041">
        <v>3</v>
      </c>
      <c r="E1041">
        <f t="shared" si="16"/>
        <v>0</v>
      </c>
      <c r="F1041">
        <v>11411.684999999999</v>
      </c>
      <c r="G1041" t="s">
        <v>9</v>
      </c>
      <c r="H1041" t="s">
        <v>11</v>
      </c>
      <c r="I1041" t="s">
        <v>7</v>
      </c>
      <c r="J1041">
        <f>_xlfn.XLOOKUP(C1041,dim_BMI!$C$2:$C$7,dim_BMI!$A$2:$A$7,,1)</f>
        <v>6</v>
      </c>
      <c r="K1041" t="str">
        <f>_xlfn.XLOOKUP(C1041,dim_BMI!$C$2:$C$7,dim_BMI!$B$2:$B$7,,1)</f>
        <v>40 or higher (Severe Obesity Class 3)</v>
      </c>
    </row>
    <row r="1042" spans="1:11" x14ac:dyDescent="0.25">
      <c r="A1042" s="1">
        <v>59</v>
      </c>
      <c r="B1042">
        <v>53</v>
      </c>
      <c r="C1042">
        <v>22.88</v>
      </c>
      <c r="D1042">
        <v>1</v>
      </c>
      <c r="E1042">
        <f t="shared" si="16"/>
        <v>1</v>
      </c>
      <c r="F1042">
        <v>23244.790199999999</v>
      </c>
      <c r="G1042" t="s">
        <v>12</v>
      </c>
      <c r="H1042" t="s">
        <v>8</v>
      </c>
      <c r="I1042" t="s">
        <v>7</v>
      </c>
      <c r="J1042">
        <f>_xlfn.XLOOKUP(C1042,dim_BMI!$C$2:$C$7,dim_BMI!$A$2:$A$7,,1)</f>
        <v>2</v>
      </c>
      <c r="K1042" t="str">
        <f>_xlfn.XLOOKUP(C1042,dim_BMI!$C$2:$C$7,dim_BMI!$B$2:$B$7,,1)</f>
        <v>18.5 to 24.9 (Healthy Weight)</v>
      </c>
    </row>
    <row r="1043" spans="1:11" x14ac:dyDescent="0.25">
      <c r="A1043" s="1">
        <v>73</v>
      </c>
      <c r="B1043">
        <v>53</v>
      </c>
      <c r="C1043">
        <v>28.1</v>
      </c>
      <c r="D1043">
        <v>3</v>
      </c>
      <c r="E1043">
        <f t="shared" si="16"/>
        <v>0</v>
      </c>
      <c r="F1043">
        <v>11741.726000000001</v>
      </c>
      <c r="G1043" t="s">
        <v>9</v>
      </c>
      <c r="H1043" t="s">
        <v>11</v>
      </c>
      <c r="I1043" t="s">
        <v>7</v>
      </c>
      <c r="J1043">
        <f>_xlfn.XLOOKUP(C1043,dim_BMI!$C$2:$C$7,dim_BMI!$A$2:$A$7,,1)</f>
        <v>3</v>
      </c>
      <c r="K1043" t="str">
        <f>_xlfn.XLOOKUP(C1043,dim_BMI!$C$2:$C$7,dim_BMI!$B$2:$B$7,,1)</f>
        <v>25.0 to 29.9 (Overweight)</v>
      </c>
    </row>
    <row r="1044" spans="1:11" x14ac:dyDescent="0.25">
      <c r="A1044" s="1">
        <v>92</v>
      </c>
      <c r="B1044">
        <v>53</v>
      </c>
      <c r="C1044">
        <v>24.795000000000002</v>
      </c>
      <c r="D1044">
        <v>1</v>
      </c>
      <c r="E1044">
        <f t="shared" si="16"/>
        <v>0</v>
      </c>
      <c r="F1044">
        <v>10942.13205</v>
      </c>
      <c r="G1044" t="s">
        <v>13</v>
      </c>
      <c r="H1044" t="s">
        <v>11</v>
      </c>
      <c r="I1044" t="s">
        <v>7</v>
      </c>
      <c r="J1044">
        <f>_xlfn.XLOOKUP(C1044,dim_BMI!$C$2:$C$7,dim_BMI!$A$2:$A$7,,1)</f>
        <v>2</v>
      </c>
      <c r="K1044" t="str">
        <f>_xlfn.XLOOKUP(C1044,dim_BMI!$C$2:$C$7,dim_BMI!$B$2:$B$7,,1)</f>
        <v>18.5 to 24.9 (Healthy Weight)</v>
      </c>
    </row>
    <row r="1045" spans="1:11" x14ac:dyDescent="0.25">
      <c r="A1045" s="1">
        <v>133</v>
      </c>
      <c r="B1045">
        <v>53</v>
      </c>
      <c r="C1045">
        <v>35.9</v>
      </c>
      <c r="D1045">
        <v>2</v>
      </c>
      <c r="E1045">
        <f t="shared" si="16"/>
        <v>0</v>
      </c>
      <c r="F1045">
        <v>11163.567999999999</v>
      </c>
      <c r="G1045" t="s">
        <v>9</v>
      </c>
      <c r="H1045" t="s">
        <v>11</v>
      </c>
      <c r="I1045" t="s">
        <v>7</v>
      </c>
      <c r="J1045">
        <f>_xlfn.XLOOKUP(C1045,dim_BMI!$C$2:$C$7,dim_BMI!$A$2:$A$7,,1)</f>
        <v>5</v>
      </c>
      <c r="K1045" t="str">
        <f>_xlfn.XLOOKUP(C1045,dim_BMI!$C$2:$C$7,dim_BMI!$B$2:$B$7,,1)</f>
        <v>35 to 39.9 (Obesity Class 2)</v>
      </c>
    </row>
    <row r="1046" spans="1:11" x14ac:dyDescent="0.25">
      <c r="A1046" s="1">
        <v>149</v>
      </c>
      <c r="B1046">
        <v>53</v>
      </c>
      <c r="C1046">
        <v>37.43</v>
      </c>
      <c r="D1046">
        <v>1</v>
      </c>
      <c r="E1046">
        <f t="shared" si="16"/>
        <v>0</v>
      </c>
      <c r="F1046">
        <v>10959.6947</v>
      </c>
      <c r="G1046" t="s">
        <v>13</v>
      </c>
      <c r="H1046" t="s">
        <v>11</v>
      </c>
      <c r="I1046" t="s">
        <v>7</v>
      </c>
      <c r="J1046">
        <f>_xlfn.XLOOKUP(C1046,dim_BMI!$C$2:$C$7,dim_BMI!$A$2:$A$7,,1)</f>
        <v>5</v>
      </c>
      <c r="K1046" t="str">
        <f>_xlfn.XLOOKUP(C1046,dim_BMI!$C$2:$C$7,dim_BMI!$B$2:$B$7,,1)</f>
        <v>35 to 39.9 (Obesity Class 2)</v>
      </c>
    </row>
    <row r="1047" spans="1:11" x14ac:dyDescent="0.25">
      <c r="A1047" s="1">
        <v>217</v>
      </c>
      <c r="B1047">
        <v>53</v>
      </c>
      <c r="C1047">
        <v>26.6</v>
      </c>
      <c r="D1047">
        <v>0</v>
      </c>
      <c r="E1047">
        <f t="shared" si="16"/>
        <v>0</v>
      </c>
      <c r="F1047">
        <v>10355.641</v>
      </c>
      <c r="G1047" t="s">
        <v>13</v>
      </c>
      <c r="H1047" t="s">
        <v>11</v>
      </c>
      <c r="I1047" t="s">
        <v>7</v>
      </c>
      <c r="J1047">
        <f>_xlfn.XLOOKUP(C1047,dim_BMI!$C$2:$C$7,dim_BMI!$A$2:$A$7,,1)</f>
        <v>3</v>
      </c>
      <c r="K1047" t="str">
        <f>_xlfn.XLOOKUP(C1047,dim_BMI!$C$2:$C$7,dim_BMI!$B$2:$B$7,,1)</f>
        <v>25.0 to 29.9 (Overweight)</v>
      </c>
    </row>
    <row r="1048" spans="1:11" x14ac:dyDescent="0.25">
      <c r="A1048" s="1">
        <v>222</v>
      </c>
      <c r="B1048">
        <v>53</v>
      </c>
      <c r="C1048">
        <v>33.25</v>
      </c>
      <c r="D1048">
        <v>0</v>
      </c>
      <c r="E1048">
        <f t="shared" si="16"/>
        <v>0</v>
      </c>
      <c r="F1048">
        <v>10564.8845</v>
      </c>
      <c r="G1048" t="s">
        <v>14</v>
      </c>
      <c r="H1048" t="s">
        <v>11</v>
      </c>
      <c r="I1048" t="s">
        <v>7</v>
      </c>
      <c r="J1048">
        <f>_xlfn.XLOOKUP(C1048,dim_BMI!$C$2:$C$7,dim_BMI!$A$2:$A$7,,1)</f>
        <v>4</v>
      </c>
      <c r="K1048" t="str">
        <f>_xlfn.XLOOKUP(C1048,dim_BMI!$C$2:$C$7,dim_BMI!$B$2:$B$7,,1)</f>
        <v>30.0 to 34.9 (Obesity Class 1)</v>
      </c>
    </row>
    <row r="1049" spans="1:11" x14ac:dyDescent="0.25">
      <c r="A1049" s="1">
        <v>265</v>
      </c>
      <c r="B1049">
        <v>53</v>
      </c>
      <c r="C1049">
        <v>38.06</v>
      </c>
      <c r="D1049">
        <v>3</v>
      </c>
      <c r="E1049">
        <f t="shared" si="16"/>
        <v>0</v>
      </c>
      <c r="F1049">
        <v>20462.997660000001</v>
      </c>
      <c r="G1049" t="s">
        <v>12</v>
      </c>
      <c r="H1049" t="s">
        <v>11</v>
      </c>
      <c r="I1049" t="s">
        <v>7</v>
      </c>
      <c r="J1049">
        <f>_xlfn.XLOOKUP(C1049,dim_BMI!$C$2:$C$7,dim_BMI!$A$2:$A$7,,1)</f>
        <v>5</v>
      </c>
      <c r="K1049" t="str">
        <f>_xlfn.XLOOKUP(C1049,dim_BMI!$C$2:$C$7,dim_BMI!$B$2:$B$7,,1)</f>
        <v>35 to 39.9 (Obesity Class 2)</v>
      </c>
    </row>
    <row r="1050" spans="1:11" x14ac:dyDescent="0.25">
      <c r="A1050" s="1">
        <v>302</v>
      </c>
      <c r="B1050">
        <v>53</v>
      </c>
      <c r="C1050">
        <v>22.61</v>
      </c>
      <c r="D1050">
        <v>3</v>
      </c>
      <c r="E1050">
        <f t="shared" si="16"/>
        <v>1</v>
      </c>
      <c r="F1050">
        <v>24873.384900000001</v>
      </c>
      <c r="G1050" t="s">
        <v>14</v>
      </c>
      <c r="H1050" t="s">
        <v>8</v>
      </c>
      <c r="I1050" t="s">
        <v>7</v>
      </c>
      <c r="J1050">
        <f>_xlfn.XLOOKUP(C1050,dim_BMI!$C$2:$C$7,dim_BMI!$A$2:$A$7,,1)</f>
        <v>2</v>
      </c>
      <c r="K1050" t="str">
        <f>_xlfn.XLOOKUP(C1050,dim_BMI!$C$2:$C$7,dim_BMI!$B$2:$B$7,,1)</f>
        <v>18.5 to 24.9 (Healthy Weight)</v>
      </c>
    </row>
    <row r="1051" spans="1:11" x14ac:dyDescent="0.25">
      <c r="A1051" s="1">
        <v>490</v>
      </c>
      <c r="B1051">
        <v>53</v>
      </c>
      <c r="C1051">
        <v>31.16</v>
      </c>
      <c r="D1051">
        <v>1</v>
      </c>
      <c r="E1051">
        <f t="shared" si="16"/>
        <v>0</v>
      </c>
      <c r="F1051">
        <v>10461.9794</v>
      </c>
      <c r="G1051" t="s">
        <v>13</v>
      </c>
      <c r="H1051" t="s">
        <v>11</v>
      </c>
      <c r="I1051" t="s">
        <v>10</v>
      </c>
      <c r="J1051">
        <f>_xlfn.XLOOKUP(C1051,dim_BMI!$C$2:$C$7,dim_BMI!$A$2:$A$7,,1)</f>
        <v>4</v>
      </c>
      <c r="K1051" t="str">
        <f>_xlfn.XLOOKUP(C1051,dim_BMI!$C$2:$C$7,dim_BMI!$B$2:$B$7,,1)</f>
        <v>30.0 to 34.9 (Obesity Class 1)</v>
      </c>
    </row>
    <row r="1052" spans="1:11" x14ac:dyDescent="0.25">
      <c r="A1052" s="1">
        <v>540</v>
      </c>
      <c r="B1052">
        <v>53</v>
      </c>
      <c r="C1052">
        <v>31.35</v>
      </c>
      <c r="D1052">
        <v>0</v>
      </c>
      <c r="E1052">
        <f t="shared" si="16"/>
        <v>0</v>
      </c>
      <c r="F1052">
        <v>27346.04207</v>
      </c>
      <c r="G1052" t="s">
        <v>12</v>
      </c>
      <c r="H1052" t="s">
        <v>11</v>
      </c>
      <c r="I1052" t="s">
        <v>10</v>
      </c>
      <c r="J1052">
        <f>_xlfn.XLOOKUP(C1052,dim_BMI!$C$2:$C$7,dim_BMI!$A$2:$A$7,,1)</f>
        <v>4</v>
      </c>
      <c r="K1052" t="str">
        <f>_xlfn.XLOOKUP(C1052,dim_BMI!$C$2:$C$7,dim_BMI!$B$2:$B$7,,1)</f>
        <v>30.0 to 34.9 (Obesity Class 1)</v>
      </c>
    </row>
    <row r="1053" spans="1:11" x14ac:dyDescent="0.25">
      <c r="A1053" s="1">
        <v>631</v>
      </c>
      <c r="B1053">
        <v>53</v>
      </c>
      <c r="C1053">
        <v>36.1</v>
      </c>
      <c r="D1053">
        <v>1</v>
      </c>
      <c r="E1053">
        <f t="shared" si="16"/>
        <v>0</v>
      </c>
      <c r="F1053">
        <v>10085.846</v>
      </c>
      <c r="G1053" t="s">
        <v>9</v>
      </c>
      <c r="H1053" t="s">
        <v>11</v>
      </c>
      <c r="I1053" t="s">
        <v>10</v>
      </c>
      <c r="J1053">
        <f>_xlfn.XLOOKUP(C1053,dim_BMI!$C$2:$C$7,dim_BMI!$A$2:$A$7,,1)</f>
        <v>5</v>
      </c>
      <c r="K1053" t="str">
        <f>_xlfn.XLOOKUP(C1053,dim_BMI!$C$2:$C$7,dim_BMI!$B$2:$B$7,,1)</f>
        <v>35 to 39.9 (Obesity Class 2)</v>
      </c>
    </row>
    <row r="1054" spans="1:11" x14ac:dyDescent="0.25">
      <c r="A1054" s="1">
        <v>652</v>
      </c>
      <c r="B1054">
        <v>53</v>
      </c>
      <c r="C1054">
        <v>39.6</v>
      </c>
      <c r="D1054">
        <v>1</v>
      </c>
      <c r="E1054">
        <f t="shared" si="16"/>
        <v>0</v>
      </c>
      <c r="F1054">
        <v>10579.710999999999</v>
      </c>
      <c r="G1054" t="s">
        <v>12</v>
      </c>
      <c r="H1054" t="s">
        <v>11</v>
      </c>
      <c r="I1054" t="s">
        <v>7</v>
      </c>
      <c r="J1054">
        <f>_xlfn.XLOOKUP(C1054,dim_BMI!$C$2:$C$7,dim_BMI!$A$2:$A$7,,1)</f>
        <v>5</v>
      </c>
      <c r="K1054" t="str">
        <f>_xlfn.XLOOKUP(C1054,dim_BMI!$C$2:$C$7,dim_BMI!$B$2:$B$7,,1)</f>
        <v>35 to 39.9 (Obesity Class 2)</v>
      </c>
    </row>
    <row r="1055" spans="1:11" x14ac:dyDescent="0.25">
      <c r="A1055" s="1">
        <v>684</v>
      </c>
      <c r="B1055">
        <v>53</v>
      </c>
      <c r="C1055">
        <v>24.32</v>
      </c>
      <c r="D1055">
        <v>0</v>
      </c>
      <c r="E1055">
        <f t="shared" si="16"/>
        <v>0</v>
      </c>
      <c r="F1055">
        <v>9863.4717999999993</v>
      </c>
      <c r="G1055" t="s">
        <v>13</v>
      </c>
      <c r="H1055" t="s">
        <v>11</v>
      </c>
      <c r="I1055" t="s">
        <v>10</v>
      </c>
      <c r="J1055">
        <f>_xlfn.XLOOKUP(C1055,dim_BMI!$C$2:$C$7,dim_BMI!$A$2:$A$7,,1)</f>
        <v>2</v>
      </c>
      <c r="K1055" t="str">
        <f>_xlfn.XLOOKUP(C1055,dim_BMI!$C$2:$C$7,dim_BMI!$B$2:$B$7,,1)</f>
        <v>18.5 to 24.9 (Healthy Weight)</v>
      </c>
    </row>
    <row r="1056" spans="1:11" x14ac:dyDescent="0.25">
      <c r="A1056" s="1">
        <v>686</v>
      </c>
      <c r="B1056">
        <v>53</v>
      </c>
      <c r="C1056">
        <v>26.41</v>
      </c>
      <c r="D1056">
        <v>2</v>
      </c>
      <c r="E1056">
        <f t="shared" si="16"/>
        <v>0</v>
      </c>
      <c r="F1056">
        <v>11244.376899999999</v>
      </c>
      <c r="G1056" t="s">
        <v>14</v>
      </c>
      <c r="H1056" t="s">
        <v>11</v>
      </c>
      <c r="I1056" t="s">
        <v>10</v>
      </c>
      <c r="J1056">
        <f>_xlfn.XLOOKUP(C1056,dim_BMI!$C$2:$C$7,dim_BMI!$A$2:$A$7,,1)</f>
        <v>3</v>
      </c>
      <c r="K1056" t="str">
        <f>_xlfn.XLOOKUP(C1056,dim_BMI!$C$2:$C$7,dim_BMI!$B$2:$B$7,,1)</f>
        <v>25.0 to 29.9 (Overweight)</v>
      </c>
    </row>
    <row r="1057" spans="1:11" x14ac:dyDescent="0.25">
      <c r="A1057" s="1">
        <v>697</v>
      </c>
      <c r="B1057">
        <v>53</v>
      </c>
      <c r="C1057">
        <v>32.299999999999997</v>
      </c>
      <c r="D1057">
        <v>2</v>
      </c>
      <c r="E1057">
        <f t="shared" si="16"/>
        <v>0</v>
      </c>
      <c r="F1057">
        <v>29186.482360000002</v>
      </c>
      <c r="G1057" t="s">
        <v>14</v>
      </c>
      <c r="H1057" t="s">
        <v>11</v>
      </c>
      <c r="I1057" t="s">
        <v>7</v>
      </c>
      <c r="J1057">
        <f>_xlfn.XLOOKUP(C1057,dim_BMI!$C$2:$C$7,dim_BMI!$A$2:$A$7,,1)</f>
        <v>4</v>
      </c>
      <c r="K1057" t="str">
        <f>_xlfn.XLOOKUP(C1057,dim_BMI!$C$2:$C$7,dim_BMI!$B$2:$B$7,,1)</f>
        <v>30.0 to 34.9 (Obesity Class 1)</v>
      </c>
    </row>
    <row r="1058" spans="1:11" x14ac:dyDescent="0.25">
      <c r="A1058" s="1">
        <v>703</v>
      </c>
      <c r="B1058">
        <v>53</v>
      </c>
      <c r="C1058">
        <v>41.47</v>
      </c>
      <c r="D1058">
        <v>0</v>
      </c>
      <c r="E1058">
        <f t="shared" si="16"/>
        <v>0</v>
      </c>
      <c r="F1058">
        <v>9504.3102999999992</v>
      </c>
      <c r="G1058" t="s">
        <v>12</v>
      </c>
      <c r="H1058" t="s">
        <v>11</v>
      </c>
      <c r="I1058" t="s">
        <v>10</v>
      </c>
      <c r="J1058">
        <f>_xlfn.XLOOKUP(C1058,dim_BMI!$C$2:$C$7,dim_BMI!$A$2:$A$7,,1)</f>
        <v>6</v>
      </c>
      <c r="K1058" t="str">
        <f>_xlfn.XLOOKUP(C1058,dim_BMI!$C$2:$C$7,dim_BMI!$B$2:$B$7,,1)</f>
        <v>40 or higher (Severe Obesity Class 3)</v>
      </c>
    </row>
    <row r="1059" spans="1:11" x14ac:dyDescent="0.25">
      <c r="A1059" s="1">
        <v>722</v>
      </c>
      <c r="B1059">
        <v>53</v>
      </c>
      <c r="C1059">
        <v>36.6</v>
      </c>
      <c r="D1059">
        <v>3</v>
      </c>
      <c r="E1059">
        <f t="shared" si="16"/>
        <v>0</v>
      </c>
      <c r="F1059">
        <v>11264.540999999999</v>
      </c>
      <c r="G1059" t="s">
        <v>9</v>
      </c>
      <c r="H1059" t="s">
        <v>11</v>
      </c>
      <c r="I1059" t="s">
        <v>10</v>
      </c>
      <c r="J1059">
        <f>_xlfn.XLOOKUP(C1059,dim_BMI!$C$2:$C$7,dim_BMI!$A$2:$A$7,,1)</f>
        <v>5</v>
      </c>
      <c r="K1059" t="str">
        <f>_xlfn.XLOOKUP(C1059,dim_BMI!$C$2:$C$7,dim_BMI!$B$2:$B$7,,1)</f>
        <v>35 to 39.9 (Obesity Class 2)</v>
      </c>
    </row>
    <row r="1060" spans="1:11" x14ac:dyDescent="0.25">
      <c r="A1060" s="1">
        <v>732</v>
      </c>
      <c r="B1060">
        <v>53</v>
      </c>
      <c r="C1060">
        <v>21.4</v>
      </c>
      <c r="D1060">
        <v>1</v>
      </c>
      <c r="E1060">
        <f t="shared" si="16"/>
        <v>0</v>
      </c>
      <c r="F1060">
        <v>10065.413</v>
      </c>
      <c r="G1060" t="s">
        <v>9</v>
      </c>
      <c r="H1060" t="s">
        <v>11</v>
      </c>
      <c r="I1060" t="s">
        <v>10</v>
      </c>
      <c r="J1060">
        <f>_xlfn.XLOOKUP(C1060,dim_BMI!$C$2:$C$7,dim_BMI!$A$2:$A$7,,1)</f>
        <v>2</v>
      </c>
      <c r="K1060" t="str">
        <f>_xlfn.XLOOKUP(C1060,dim_BMI!$C$2:$C$7,dim_BMI!$B$2:$B$7,,1)</f>
        <v>18.5 to 24.9 (Healthy Weight)</v>
      </c>
    </row>
    <row r="1061" spans="1:11" x14ac:dyDescent="0.25">
      <c r="A1061" s="1">
        <v>743</v>
      </c>
      <c r="B1061">
        <v>53</v>
      </c>
      <c r="C1061">
        <v>34.104999999999997</v>
      </c>
      <c r="D1061">
        <v>0</v>
      </c>
      <c r="E1061">
        <f t="shared" si="16"/>
        <v>1</v>
      </c>
      <c r="F1061">
        <v>43254.417950000003</v>
      </c>
      <c r="G1061" t="s">
        <v>14</v>
      </c>
      <c r="H1061" t="s">
        <v>8</v>
      </c>
      <c r="I1061" t="s">
        <v>10</v>
      </c>
      <c r="J1061">
        <f>_xlfn.XLOOKUP(C1061,dim_BMI!$C$2:$C$7,dim_BMI!$A$2:$A$7,,1)</f>
        <v>4</v>
      </c>
      <c r="K1061" t="str">
        <f>_xlfn.XLOOKUP(C1061,dim_BMI!$C$2:$C$7,dim_BMI!$B$2:$B$7,,1)</f>
        <v>30.0 to 34.9 (Obesity Class 1)</v>
      </c>
    </row>
    <row r="1062" spans="1:11" x14ac:dyDescent="0.25">
      <c r="A1062" s="1">
        <v>772</v>
      </c>
      <c r="B1062">
        <v>53</v>
      </c>
      <c r="C1062">
        <v>26.7</v>
      </c>
      <c r="D1062">
        <v>2</v>
      </c>
      <c r="E1062">
        <f t="shared" si="16"/>
        <v>0</v>
      </c>
      <c r="F1062">
        <v>11150.78</v>
      </c>
      <c r="G1062" t="s">
        <v>9</v>
      </c>
      <c r="H1062" t="s">
        <v>11</v>
      </c>
      <c r="I1062" t="s">
        <v>7</v>
      </c>
      <c r="J1062">
        <f>_xlfn.XLOOKUP(C1062,dim_BMI!$C$2:$C$7,dim_BMI!$A$2:$A$7,,1)</f>
        <v>3</v>
      </c>
      <c r="K1062" t="str">
        <f>_xlfn.XLOOKUP(C1062,dim_BMI!$C$2:$C$7,dim_BMI!$B$2:$B$7,,1)</f>
        <v>25.0 to 29.9 (Overweight)</v>
      </c>
    </row>
    <row r="1063" spans="1:11" x14ac:dyDescent="0.25">
      <c r="A1063" s="1">
        <v>780</v>
      </c>
      <c r="B1063">
        <v>53</v>
      </c>
      <c r="C1063">
        <v>28.88</v>
      </c>
      <c r="D1063">
        <v>0</v>
      </c>
      <c r="E1063">
        <f t="shared" si="16"/>
        <v>0</v>
      </c>
      <c r="F1063">
        <v>9869.8101999999999</v>
      </c>
      <c r="G1063" t="s">
        <v>13</v>
      </c>
      <c r="H1063" t="s">
        <v>11</v>
      </c>
      <c r="I1063" t="s">
        <v>10</v>
      </c>
      <c r="J1063">
        <f>_xlfn.XLOOKUP(C1063,dim_BMI!$C$2:$C$7,dim_BMI!$A$2:$A$7,,1)</f>
        <v>3</v>
      </c>
      <c r="K1063" t="str">
        <f>_xlfn.XLOOKUP(C1063,dim_BMI!$C$2:$C$7,dim_BMI!$B$2:$B$7,,1)</f>
        <v>25.0 to 29.9 (Overweight)</v>
      </c>
    </row>
    <row r="1064" spans="1:11" x14ac:dyDescent="0.25">
      <c r="A1064" s="1">
        <v>794</v>
      </c>
      <c r="B1064">
        <v>53</v>
      </c>
      <c r="C1064">
        <v>20.9</v>
      </c>
      <c r="D1064">
        <v>0</v>
      </c>
      <c r="E1064">
        <f t="shared" si="16"/>
        <v>1</v>
      </c>
      <c r="F1064">
        <v>21195.817999999999</v>
      </c>
      <c r="G1064" t="s">
        <v>12</v>
      </c>
      <c r="H1064" t="s">
        <v>8</v>
      </c>
      <c r="I1064" t="s">
        <v>10</v>
      </c>
      <c r="J1064">
        <f>_xlfn.XLOOKUP(C1064,dim_BMI!$C$2:$C$7,dim_BMI!$A$2:$A$7,,1)</f>
        <v>2</v>
      </c>
      <c r="K1064" t="str">
        <f>_xlfn.XLOOKUP(C1064,dim_BMI!$C$2:$C$7,dim_BMI!$B$2:$B$7,,1)</f>
        <v>18.5 to 24.9 (Healthy Weight)</v>
      </c>
    </row>
    <row r="1065" spans="1:11" x14ac:dyDescent="0.25">
      <c r="A1065" s="1">
        <v>845</v>
      </c>
      <c r="B1065">
        <v>53</v>
      </c>
      <c r="C1065">
        <v>30.495000000000001</v>
      </c>
      <c r="D1065">
        <v>0</v>
      </c>
      <c r="E1065">
        <f t="shared" si="16"/>
        <v>0</v>
      </c>
      <c r="F1065">
        <v>10072.055050000001</v>
      </c>
      <c r="G1065" t="s">
        <v>14</v>
      </c>
      <c r="H1065" t="s">
        <v>11</v>
      </c>
      <c r="I1065" t="s">
        <v>10</v>
      </c>
      <c r="J1065">
        <f>_xlfn.XLOOKUP(C1065,dim_BMI!$C$2:$C$7,dim_BMI!$A$2:$A$7,,1)</f>
        <v>4</v>
      </c>
      <c r="K1065" t="str">
        <f>_xlfn.XLOOKUP(C1065,dim_BMI!$C$2:$C$7,dim_BMI!$B$2:$B$7,,1)</f>
        <v>30.0 to 34.9 (Obesity Class 1)</v>
      </c>
    </row>
    <row r="1066" spans="1:11" x14ac:dyDescent="0.25">
      <c r="A1066" s="1">
        <v>854</v>
      </c>
      <c r="B1066">
        <v>53</v>
      </c>
      <c r="C1066">
        <v>23.75</v>
      </c>
      <c r="D1066">
        <v>2</v>
      </c>
      <c r="E1066">
        <f t="shared" si="16"/>
        <v>0</v>
      </c>
      <c r="F1066">
        <v>11729.6795</v>
      </c>
      <c r="G1066" t="s">
        <v>14</v>
      </c>
      <c r="H1066" t="s">
        <v>11</v>
      </c>
      <c r="I1066" t="s">
        <v>7</v>
      </c>
      <c r="J1066">
        <f>_xlfn.XLOOKUP(C1066,dim_BMI!$C$2:$C$7,dim_BMI!$A$2:$A$7,,1)</f>
        <v>2</v>
      </c>
      <c r="K1066" t="str">
        <f>_xlfn.XLOOKUP(C1066,dim_BMI!$C$2:$C$7,dim_BMI!$B$2:$B$7,,1)</f>
        <v>18.5 to 24.9 (Healthy Weight)</v>
      </c>
    </row>
    <row r="1067" spans="1:11" x14ac:dyDescent="0.25">
      <c r="A1067" s="1">
        <v>940</v>
      </c>
      <c r="B1067">
        <v>53</v>
      </c>
      <c r="C1067">
        <v>29.48</v>
      </c>
      <c r="D1067">
        <v>0</v>
      </c>
      <c r="E1067">
        <f t="shared" si="16"/>
        <v>0</v>
      </c>
      <c r="F1067">
        <v>9487.6442000000006</v>
      </c>
      <c r="G1067" t="s">
        <v>12</v>
      </c>
      <c r="H1067" t="s">
        <v>11</v>
      </c>
      <c r="I1067" t="s">
        <v>10</v>
      </c>
      <c r="J1067">
        <f>_xlfn.XLOOKUP(C1067,dim_BMI!$C$2:$C$7,dim_BMI!$A$2:$A$7,,1)</f>
        <v>3</v>
      </c>
      <c r="K1067" t="str">
        <f>_xlfn.XLOOKUP(C1067,dim_BMI!$C$2:$C$7,dim_BMI!$B$2:$B$7,,1)</f>
        <v>25.0 to 29.9 (Overweight)</v>
      </c>
    </row>
    <row r="1068" spans="1:11" x14ac:dyDescent="0.25">
      <c r="A1068" s="1">
        <v>1102</v>
      </c>
      <c r="B1068">
        <v>53</v>
      </c>
      <c r="C1068">
        <v>28.6</v>
      </c>
      <c r="D1068">
        <v>3</v>
      </c>
      <c r="E1068">
        <f t="shared" si="16"/>
        <v>0</v>
      </c>
      <c r="F1068">
        <v>11253.421</v>
      </c>
      <c r="G1068" t="s">
        <v>9</v>
      </c>
      <c r="H1068" t="s">
        <v>11</v>
      </c>
      <c r="I1068" t="s">
        <v>10</v>
      </c>
      <c r="J1068">
        <f>_xlfn.XLOOKUP(C1068,dim_BMI!$C$2:$C$7,dim_BMI!$A$2:$A$7,,1)</f>
        <v>3</v>
      </c>
      <c r="K1068" t="str">
        <f>_xlfn.XLOOKUP(C1068,dim_BMI!$C$2:$C$7,dim_BMI!$B$2:$B$7,,1)</f>
        <v>25.0 to 29.9 (Overweight)</v>
      </c>
    </row>
    <row r="1069" spans="1:11" x14ac:dyDescent="0.25">
      <c r="A1069" s="1">
        <v>1123</v>
      </c>
      <c r="B1069">
        <v>53</v>
      </c>
      <c r="C1069">
        <v>36.86</v>
      </c>
      <c r="D1069">
        <v>3</v>
      </c>
      <c r="E1069">
        <f t="shared" si="16"/>
        <v>1</v>
      </c>
      <c r="F1069">
        <v>46661.4424</v>
      </c>
      <c r="G1069" t="s">
        <v>13</v>
      </c>
      <c r="H1069" t="s">
        <v>8</v>
      </c>
      <c r="I1069" t="s">
        <v>7</v>
      </c>
      <c r="J1069">
        <f>_xlfn.XLOOKUP(C1069,dim_BMI!$C$2:$C$7,dim_BMI!$A$2:$A$7,,1)</f>
        <v>5</v>
      </c>
      <c r="K1069" t="str">
        <f>_xlfn.XLOOKUP(C1069,dim_BMI!$C$2:$C$7,dim_BMI!$B$2:$B$7,,1)</f>
        <v>35 to 39.9 (Obesity Class 2)</v>
      </c>
    </row>
    <row r="1070" spans="1:11" x14ac:dyDescent="0.25">
      <c r="A1070" s="1">
        <v>97</v>
      </c>
      <c r="B1070">
        <v>54</v>
      </c>
      <c r="C1070">
        <v>30.8</v>
      </c>
      <c r="D1070">
        <v>3</v>
      </c>
      <c r="E1070">
        <f t="shared" si="16"/>
        <v>0</v>
      </c>
      <c r="F1070">
        <v>12105.32</v>
      </c>
      <c r="G1070" t="s">
        <v>9</v>
      </c>
      <c r="H1070" t="s">
        <v>11</v>
      </c>
      <c r="I1070" t="s">
        <v>7</v>
      </c>
      <c r="J1070">
        <f>_xlfn.XLOOKUP(C1070,dim_BMI!$C$2:$C$7,dim_BMI!$A$2:$A$7,,1)</f>
        <v>4</v>
      </c>
      <c r="K1070" t="str">
        <f>_xlfn.XLOOKUP(C1070,dim_BMI!$C$2:$C$7,dim_BMI!$B$2:$B$7,,1)</f>
        <v>30.0 to 34.9 (Obesity Class 1)</v>
      </c>
    </row>
    <row r="1071" spans="1:11" x14ac:dyDescent="0.25">
      <c r="A1071" s="1">
        <v>111</v>
      </c>
      <c r="B1071">
        <v>54</v>
      </c>
      <c r="C1071">
        <v>33.630000000000003</v>
      </c>
      <c r="D1071">
        <v>1</v>
      </c>
      <c r="E1071">
        <f t="shared" si="16"/>
        <v>0</v>
      </c>
      <c r="F1071">
        <v>10825.253699999999</v>
      </c>
      <c r="G1071" t="s">
        <v>13</v>
      </c>
      <c r="H1071" t="s">
        <v>11</v>
      </c>
      <c r="I1071" t="s">
        <v>10</v>
      </c>
      <c r="J1071">
        <f>_xlfn.XLOOKUP(C1071,dim_BMI!$C$2:$C$7,dim_BMI!$A$2:$A$7,,1)</f>
        <v>4</v>
      </c>
      <c r="K1071" t="str">
        <f>_xlfn.XLOOKUP(C1071,dim_BMI!$C$2:$C$7,dim_BMI!$B$2:$B$7,,1)</f>
        <v>30.0 to 34.9 (Obesity Class 1)</v>
      </c>
    </row>
    <row r="1072" spans="1:11" x14ac:dyDescent="0.25">
      <c r="A1072" s="1">
        <v>139</v>
      </c>
      <c r="B1072">
        <v>54</v>
      </c>
      <c r="C1072">
        <v>31.9</v>
      </c>
      <c r="D1072">
        <v>3</v>
      </c>
      <c r="E1072">
        <f t="shared" si="16"/>
        <v>0</v>
      </c>
      <c r="F1072">
        <v>27322.73386</v>
      </c>
      <c r="G1072" t="s">
        <v>12</v>
      </c>
      <c r="H1072" t="s">
        <v>11</v>
      </c>
      <c r="I1072" t="s">
        <v>7</v>
      </c>
      <c r="J1072">
        <f>_xlfn.XLOOKUP(C1072,dim_BMI!$C$2:$C$7,dim_BMI!$A$2:$A$7,,1)</f>
        <v>4</v>
      </c>
      <c r="K1072" t="str">
        <f>_xlfn.XLOOKUP(C1072,dim_BMI!$C$2:$C$7,dim_BMI!$B$2:$B$7,,1)</f>
        <v>30.0 to 34.9 (Obesity Class 1)</v>
      </c>
    </row>
    <row r="1073" spans="1:11" x14ac:dyDescent="0.25">
      <c r="A1073" s="1">
        <v>163</v>
      </c>
      <c r="B1073">
        <v>54</v>
      </c>
      <c r="C1073">
        <v>39.6</v>
      </c>
      <c r="D1073">
        <v>1</v>
      </c>
      <c r="E1073">
        <f t="shared" si="16"/>
        <v>0</v>
      </c>
      <c r="F1073">
        <v>10450.552</v>
      </c>
      <c r="G1073" t="s">
        <v>9</v>
      </c>
      <c r="H1073" t="s">
        <v>11</v>
      </c>
      <c r="I1073" t="s">
        <v>10</v>
      </c>
      <c r="J1073">
        <f>_xlfn.XLOOKUP(C1073,dim_BMI!$C$2:$C$7,dim_BMI!$A$2:$A$7,,1)</f>
        <v>5</v>
      </c>
      <c r="K1073" t="str">
        <f>_xlfn.XLOOKUP(C1073,dim_BMI!$C$2:$C$7,dim_BMI!$B$2:$B$7,,1)</f>
        <v>35 to 39.9 (Obesity Class 2)</v>
      </c>
    </row>
    <row r="1074" spans="1:11" x14ac:dyDescent="0.25">
      <c r="A1074" s="1">
        <v>178</v>
      </c>
      <c r="B1074">
        <v>54</v>
      </c>
      <c r="C1074">
        <v>29.2</v>
      </c>
      <c r="D1074">
        <v>1</v>
      </c>
      <c r="E1074">
        <f t="shared" si="16"/>
        <v>0</v>
      </c>
      <c r="F1074">
        <v>10436.096</v>
      </c>
      <c r="G1074" t="s">
        <v>9</v>
      </c>
      <c r="H1074" t="s">
        <v>11</v>
      </c>
      <c r="I1074" t="s">
        <v>10</v>
      </c>
      <c r="J1074">
        <f>_xlfn.XLOOKUP(C1074,dim_BMI!$C$2:$C$7,dim_BMI!$A$2:$A$7,,1)</f>
        <v>3</v>
      </c>
      <c r="K1074" t="str">
        <f>_xlfn.XLOOKUP(C1074,dim_BMI!$C$2:$C$7,dim_BMI!$B$2:$B$7,,1)</f>
        <v>25.0 to 29.9 (Overweight)</v>
      </c>
    </row>
    <row r="1075" spans="1:11" x14ac:dyDescent="0.25">
      <c r="A1075" s="1">
        <v>246</v>
      </c>
      <c r="B1075">
        <v>54</v>
      </c>
      <c r="C1075">
        <v>30.02</v>
      </c>
      <c r="D1075">
        <v>0</v>
      </c>
      <c r="E1075">
        <f t="shared" si="16"/>
        <v>0</v>
      </c>
      <c r="F1075">
        <v>24476.478510000001</v>
      </c>
      <c r="G1075" t="s">
        <v>13</v>
      </c>
      <c r="H1075" t="s">
        <v>11</v>
      </c>
      <c r="I1075" t="s">
        <v>10</v>
      </c>
      <c r="J1075">
        <f>_xlfn.XLOOKUP(C1075,dim_BMI!$C$2:$C$7,dim_BMI!$A$2:$A$7,,1)</f>
        <v>4</v>
      </c>
      <c r="K1075" t="str">
        <f>_xlfn.XLOOKUP(C1075,dim_BMI!$C$2:$C$7,dim_BMI!$B$2:$B$7,,1)</f>
        <v>30.0 to 34.9 (Obesity Class 1)</v>
      </c>
    </row>
    <row r="1076" spans="1:11" x14ac:dyDescent="0.25">
      <c r="A1076" s="1">
        <v>253</v>
      </c>
      <c r="B1076">
        <v>54</v>
      </c>
      <c r="C1076">
        <v>34.21</v>
      </c>
      <c r="D1076">
        <v>2</v>
      </c>
      <c r="E1076">
        <f t="shared" si="16"/>
        <v>1</v>
      </c>
      <c r="F1076">
        <v>44260.749900000003</v>
      </c>
      <c r="G1076" t="s">
        <v>12</v>
      </c>
      <c r="H1076" t="s">
        <v>8</v>
      </c>
      <c r="I1076" t="s">
        <v>10</v>
      </c>
      <c r="J1076">
        <f>_xlfn.XLOOKUP(C1076,dim_BMI!$C$2:$C$7,dim_BMI!$A$2:$A$7,,1)</f>
        <v>4</v>
      </c>
      <c r="K1076" t="str">
        <f>_xlfn.XLOOKUP(C1076,dim_BMI!$C$2:$C$7,dim_BMI!$B$2:$B$7,,1)</f>
        <v>30.0 to 34.9 (Obesity Class 1)</v>
      </c>
    </row>
    <row r="1077" spans="1:11" x14ac:dyDescent="0.25">
      <c r="A1077" s="1">
        <v>282</v>
      </c>
      <c r="B1077">
        <v>54</v>
      </c>
      <c r="C1077">
        <v>40.564999999999998</v>
      </c>
      <c r="D1077">
        <v>3</v>
      </c>
      <c r="E1077">
        <f t="shared" si="16"/>
        <v>1</v>
      </c>
      <c r="F1077">
        <v>48549.178350000002</v>
      </c>
      <c r="G1077" t="s">
        <v>14</v>
      </c>
      <c r="H1077" t="s">
        <v>8</v>
      </c>
      <c r="I1077" t="s">
        <v>10</v>
      </c>
      <c r="J1077">
        <f>_xlfn.XLOOKUP(C1077,dim_BMI!$C$2:$C$7,dim_BMI!$A$2:$A$7,,1)</f>
        <v>6</v>
      </c>
      <c r="K1077" t="str">
        <f>_xlfn.XLOOKUP(C1077,dim_BMI!$C$2:$C$7,dim_BMI!$B$2:$B$7,,1)</f>
        <v>40 or higher (Severe Obesity Class 3)</v>
      </c>
    </row>
    <row r="1078" spans="1:11" x14ac:dyDescent="0.25">
      <c r="A1078" s="1">
        <v>318</v>
      </c>
      <c r="B1078">
        <v>54</v>
      </c>
      <c r="C1078">
        <v>32.774999999999999</v>
      </c>
      <c r="D1078">
        <v>0</v>
      </c>
      <c r="E1078">
        <f t="shared" si="16"/>
        <v>0</v>
      </c>
      <c r="F1078">
        <v>10435.06525</v>
      </c>
      <c r="G1078" t="s">
        <v>14</v>
      </c>
      <c r="H1078" t="s">
        <v>11</v>
      </c>
      <c r="I1078" t="s">
        <v>10</v>
      </c>
      <c r="J1078">
        <f>_xlfn.XLOOKUP(C1078,dim_BMI!$C$2:$C$7,dim_BMI!$A$2:$A$7,,1)</f>
        <v>4</v>
      </c>
      <c r="K1078" t="str">
        <f>_xlfn.XLOOKUP(C1078,dim_BMI!$C$2:$C$7,dim_BMI!$B$2:$B$7,,1)</f>
        <v>30.0 to 34.9 (Obesity Class 1)</v>
      </c>
    </row>
    <row r="1079" spans="1:11" x14ac:dyDescent="0.25">
      <c r="A1079" s="1">
        <v>475</v>
      </c>
      <c r="B1079">
        <v>54</v>
      </c>
      <c r="C1079">
        <v>25.1</v>
      </c>
      <c r="D1079">
        <v>3</v>
      </c>
      <c r="E1079">
        <f t="shared" si="16"/>
        <v>1</v>
      </c>
      <c r="F1079">
        <v>25382.296999999999</v>
      </c>
      <c r="G1079" t="s">
        <v>9</v>
      </c>
      <c r="H1079" t="s">
        <v>8</v>
      </c>
      <c r="I1079" t="s">
        <v>10</v>
      </c>
      <c r="J1079">
        <f>_xlfn.XLOOKUP(C1079,dim_BMI!$C$2:$C$7,dim_BMI!$A$2:$A$7,,1)</f>
        <v>3</v>
      </c>
      <c r="K1079" t="str">
        <f>_xlfn.XLOOKUP(C1079,dim_BMI!$C$2:$C$7,dim_BMI!$B$2:$B$7,,1)</f>
        <v>25.0 to 29.9 (Overweight)</v>
      </c>
    </row>
    <row r="1080" spans="1:11" x14ac:dyDescent="0.25">
      <c r="A1080" s="1">
        <v>487</v>
      </c>
      <c r="B1080">
        <v>54</v>
      </c>
      <c r="C1080">
        <v>21.47</v>
      </c>
      <c r="D1080">
        <v>3</v>
      </c>
      <c r="E1080">
        <f t="shared" si="16"/>
        <v>0</v>
      </c>
      <c r="F1080">
        <v>12475.3513</v>
      </c>
      <c r="G1080" t="s">
        <v>13</v>
      </c>
      <c r="H1080" t="s">
        <v>11</v>
      </c>
      <c r="I1080" t="s">
        <v>7</v>
      </c>
      <c r="J1080">
        <f>_xlfn.XLOOKUP(C1080,dim_BMI!$C$2:$C$7,dim_BMI!$A$2:$A$7,,1)</f>
        <v>2</v>
      </c>
      <c r="K1080" t="str">
        <f>_xlfn.XLOOKUP(C1080,dim_BMI!$C$2:$C$7,dim_BMI!$B$2:$B$7,,1)</f>
        <v>18.5 to 24.9 (Healthy Weight)</v>
      </c>
    </row>
    <row r="1081" spans="1:11" x14ac:dyDescent="0.25">
      <c r="A1081" s="1">
        <v>544</v>
      </c>
      <c r="B1081">
        <v>54</v>
      </c>
      <c r="C1081">
        <v>47.41</v>
      </c>
      <c r="D1081">
        <v>0</v>
      </c>
      <c r="E1081">
        <f t="shared" si="16"/>
        <v>1</v>
      </c>
      <c r="F1081">
        <v>63770.428010000003</v>
      </c>
      <c r="G1081" t="s">
        <v>12</v>
      </c>
      <c r="H1081" t="s">
        <v>8</v>
      </c>
      <c r="I1081" t="s">
        <v>7</v>
      </c>
      <c r="J1081">
        <f>_xlfn.XLOOKUP(C1081,dim_BMI!$C$2:$C$7,dim_BMI!$A$2:$A$7,,1)</f>
        <v>6</v>
      </c>
      <c r="K1081" t="str">
        <f>_xlfn.XLOOKUP(C1081,dim_BMI!$C$2:$C$7,dim_BMI!$B$2:$B$7,,1)</f>
        <v>40 or higher (Severe Obesity Class 3)</v>
      </c>
    </row>
    <row r="1082" spans="1:11" x14ac:dyDescent="0.25">
      <c r="A1082" s="1">
        <v>545</v>
      </c>
      <c r="B1082">
        <v>54</v>
      </c>
      <c r="C1082">
        <v>30.21</v>
      </c>
      <c r="D1082">
        <v>0</v>
      </c>
      <c r="E1082">
        <f t="shared" si="16"/>
        <v>0</v>
      </c>
      <c r="F1082">
        <v>10231.499900000001</v>
      </c>
      <c r="G1082" t="s">
        <v>13</v>
      </c>
      <c r="H1082" t="s">
        <v>11</v>
      </c>
      <c r="I1082" t="s">
        <v>10</v>
      </c>
      <c r="J1082">
        <f>_xlfn.XLOOKUP(C1082,dim_BMI!$C$2:$C$7,dim_BMI!$A$2:$A$7,,1)</f>
        <v>4</v>
      </c>
      <c r="K1082" t="str">
        <f>_xlfn.XLOOKUP(C1082,dim_BMI!$C$2:$C$7,dim_BMI!$B$2:$B$7,,1)</f>
        <v>30.0 to 34.9 (Obesity Class 1)</v>
      </c>
    </row>
    <row r="1083" spans="1:11" x14ac:dyDescent="0.25">
      <c r="A1083" s="1">
        <v>548</v>
      </c>
      <c r="B1083">
        <v>54</v>
      </c>
      <c r="C1083">
        <v>46.7</v>
      </c>
      <c r="D1083">
        <v>2</v>
      </c>
      <c r="E1083">
        <f t="shared" si="16"/>
        <v>0</v>
      </c>
      <c r="F1083">
        <v>11538.421</v>
      </c>
      <c r="G1083" t="s">
        <v>9</v>
      </c>
      <c r="H1083" t="s">
        <v>11</v>
      </c>
      <c r="I1083" t="s">
        <v>7</v>
      </c>
      <c r="J1083">
        <f>_xlfn.XLOOKUP(C1083,dim_BMI!$C$2:$C$7,dim_BMI!$A$2:$A$7,,1)</f>
        <v>6</v>
      </c>
      <c r="K1083" t="str">
        <f>_xlfn.XLOOKUP(C1083,dim_BMI!$C$2:$C$7,dim_BMI!$B$2:$B$7,,1)</f>
        <v>40 or higher (Severe Obesity Class 3)</v>
      </c>
    </row>
    <row r="1084" spans="1:11" x14ac:dyDescent="0.25">
      <c r="A1084" s="1">
        <v>562</v>
      </c>
      <c r="B1084">
        <v>54</v>
      </c>
      <c r="C1084">
        <v>32.68</v>
      </c>
      <c r="D1084">
        <v>0</v>
      </c>
      <c r="E1084">
        <f t="shared" si="16"/>
        <v>0</v>
      </c>
      <c r="F1084">
        <v>10923.933199999999</v>
      </c>
      <c r="G1084" t="s">
        <v>14</v>
      </c>
      <c r="H1084" t="s">
        <v>11</v>
      </c>
      <c r="I1084" t="s">
        <v>7</v>
      </c>
      <c r="J1084">
        <f>_xlfn.XLOOKUP(C1084,dim_BMI!$C$2:$C$7,dim_BMI!$A$2:$A$7,,1)</f>
        <v>4</v>
      </c>
      <c r="K1084" t="str">
        <f>_xlfn.XLOOKUP(C1084,dim_BMI!$C$2:$C$7,dim_BMI!$B$2:$B$7,,1)</f>
        <v>30.0 to 34.9 (Obesity Class 1)</v>
      </c>
    </row>
    <row r="1085" spans="1:11" x14ac:dyDescent="0.25">
      <c r="A1085" s="1">
        <v>813</v>
      </c>
      <c r="B1085">
        <v>54</v>
      </c>
      <c r="C1085">
        <v>21.01</v>
      </c>
      <c r="D1085">
        <v>2</v>
      </c>
      <c r="E1085">
        <f t="shared" si="16"/>
        <v>0</v>
      </c>
      <c r="F1085">
        <v>11013.7119</v>
      </c>
      <c r="G1085" t="s">
        <v>12</v>
      </c>
      <c r="H1085" t="s">
        <v>11</v>
      </c>
      <c r="I1085" t="s">
        <v>10</v>
      </c>
      <c r="J1085">
        <f>_xlfn.XLOOKUP(C1085,dim_BMI!$C$2:$C$7,dim_BMI!$A$2:$A$7,,1)</f>
        <v>2</v>
      </c>
      <c r="K1085" t="str">
        <f>_xlfn.XLOOKUP(C1085,dim_BMI!$C$2:$C$7,dim_BMI!$B$2:$B$7,,1)</f>
        <v>18.5 to 24.9 (Healthy Weight)</v>
      </c>
    </row>
    <row r="1086" spans="1:11" x14ac:dyDescent="0.25">
      <c r="A1086" s="1">
        <v>893</v>
      </c>
      <c r="B1086">
        <v>54</v>
      </c>
      <c r="C1086">
        <v>24.035</v>
      </c>
      <c r="D1086">
        <v>0</v>
      </c>
      <c r="E1086">
        <f t="shared" si="16"/>
        <v>0</v>
      </c>
      <c r="F1086">
        <v>10422.916649999999</v>
      </c>
      <c r="G1086" t="s">
        <v>14</v>
      </c>
      <c r="H1086" t="s">
        <v>11</v>
      </c>
      <c r="I1086" t="s">
        <v>10</v>
      </c>
      <c r="J1086">
        <f>_xlfn.XLOOKUP(C1086,dim_BMI!$C$2:$C$7,dim_BMI!$A$2:$A$7,,1)</f>
        <v>2</v>
      </c>
      <c r="K1086" t="str">
        <f>_xlfn.XLOOKUP(C1086,dim_BMI!$C$2:$C$7,dim_BMI!$B$2:$B$7,,1)</f>
        <v>18.5 to 24.9 (Healthy Weight)</v>
      </c>
    </row>
    <row r="1087" spans="1:11" x14ac:dyDescent="0.25">
      <c r="A1087" s="1">
        <v>957</v>
      </c>
      <c r="B1087">
        <v>54</v>
      </c>
      <c r="C1087">
        <v>30.8</v>
      </c>
      <c r="D1087">
        <v>1</v>
      </c>
      <c r="E1087">
        <f t="shared" si="16"/>
        <v>1</v>
      </c>
      <c r="F1087">
        <v>41999.519999999997</v>
      </c>
      <c r="G1087" t="s">
        <v>12</v>
      </c>
      <c r="H1087" t="s">
        <v>8</v>
      </c>
      <c r="I1087" t="s">
        <v>10</v>
      </c>
      <c r="J1087">
        <f>_xlfn.XLOOKUP(C1087,dim_BMI!$C$2:$C$7,dim_BMI!$A$2:$A$7,,1)</f>
        <v>4</v>
      </c>
      <c r="K1087" t="str">
        <f>_xlfn.XLOOKUP(C1087,dim_BMI!$C$2:$C$7,dim_BMI!$B$2:$B$7,,1)</f>
        <v>30.0 to 34.9 (Obesity Class 1)</v>
      </c>
    </row>
    <row r="1088" spans="1:11" x14ac:dyDescent="0.25">
      <c r="A1088" s="1">
        <v>981</v>
      </c>
      <c r="B1088">
        <v>54</v>
      </c>
      <c r="C1088">
        <v>25.46</v>
      </c>
      <c r="D1088">
        <v>1</v>
      </c>
      <c r="E1088">
        <f t="shared" si="16"/>
        <v>0</v>
      </c>
      <c r="F1088">
        <v>25517.11363</v>
      </c>
      <c r="G1088" t="s">
        <v>14</v>
      </c>
      <c r="H1088" t="s">
        <v>11</v>
      </c>
      <c r="I1088" t="s">
        <v>10</v>
      </c>
      <c r="J1088">
        <f>_xlfn.XLOOKUP(C1088,dim_BMI!$C$2:$C$7,dim_BMI!$A$2:$A$7,,1)</f>
        <v>3</v>
      </c>
      <c r="K1088" t="str">
        <f>_xlfn.XLOOKUP(C1088,dim_BMI!$C$2:$C$7,dim_BMI!$B$2:$B$7,,1)</f>
        <v>25.0 to 29.9 (Overweight)</v>
      </c>
    </row>
    <row r="1089" spans="1:11" x14ac:dyDescent="0.25">
      <c r="A1089" s="1">
        <v>1019</v>
      </c>
      <c r="B1089">
        <v>54</v>
      </c>
      <c r="C1089">
        <v>35.814999999999998</v>
      </c>
      <c r="D1089">
        <v>3</v>
      </c>
      <c r="E1089">
        <f t="shared" si="16"/>
        <v>0</v>
      </c>
      <c r="F1089">
        <v>12495.290849999999</v>
      </c>
      <c r="G1089" t="s">
        <v>13</v>
      </c>
      <c r="H1089" t="s">
        <v>11</v>
      </c>
      <c r="I1089" t="s">
        <v>7</v>
      </c>
      <c r="J1089">
        <f>_xlfn.XLOOKUP(C1089,dim_BMI!$C$2:$C$7,dim_BMI!$A$2:$A$7,,1)</f>
        <v>5</v>
      </c>
      <c r="K1089" t="str">
        <f>_xlfn.XLOOKUP(C1089,dim_BMI!$C$2:$C$7,dim_BMI!$B$2:$B$7,,1)</f>
        <v>35 to 39.9 (Obesity Class 2)</v>
      </c>
    </row>
    <row r="1090" spans="1:11" x14ac:dyDescent="0.25">
      <c r="A1090" s="1">
        <v>1029</v>
      </c>
      <c r="B1090">
        <v>54</v>
      </c>
      <c r="C1090">
        <v>31.6</v>
      </c>
      <c r="D1090">
        <v>0</v>
      </c>
      <c r="E1090">
        <f t="shared" si="16"/>
        <v>0</v>
      </c>
      <c r="F1090">
        <v>9850.4320000000007</v>
      </c>
      <c r="G1090" t="s">
        <v>9</v>
      </c>
      <c r="H1090" t="s">
        <v>11</v>
      </c>
      <c r="I1090" t="s">
        <v>10</v>
      </c>
      <c r="J1090">
        <f>_xlfn.XLOOKUP(C1090,dim_BMI!$C$2:$C$7,dim_BMI!$A$2:$A$7,,1)</f>
        <v>4</v>
      </c>
      <c r="K1090" t="str">
        <f>_xlfn.XLOOKUP(C1090,dim_BMI!$C$2:$C$7,dim_BMI!$B$2:$B$7,,1)</f>
        <v>30.0 to 34.9 (Obesity Class 1)</v>
      </c>
    </row>
    <row r="1091" spans="1:11" x14ac:dyDescent="0.25">
      <c r="A1091" s="1">
        <v>1036</v>
      </c>
      <c r="B1091">
        <v>54</v>
      </c>
      <c r="C1091">
        <v>23</v>
      </c>
      <c r="D1091">
        <v>3</v>
      </c>
      <c r="E1091">
        <f t="shared" ref="E1091:E1154" si="17">IF(H1091="yes",1,0)</f>
        <v>0</v>
      </c>
      <c r="F1091">
        <v>12094.477999999999</v>
      </c>
      <c r="G1091" t="s">
        <v>9</v>
      </c>
      <c r="H1091" t="s">
        <v>11</v>
      </c>
      <c r="I1091" t="s">
        <v>7</v>
      </c>
      <c r="J1091">
        <f>_xlfn.XLOOKUP(C1091,dim_BMI!$C$2:$C$7,dim_BMI!$A$2:$A$7,,1)</f>
        <v>2</v>
      </c>
      <c r="K1091" t="str">
        <f>_xlfn.XLOOKUP(C1091,dim_BMI!$C$2:$C$7,dim_BMI!$B$2:$B$7,,1)</f>
        <v>18.5 to 24.9 (Healthy Weight)</v>
      </c>
    </row>
    <row r="1092" spans="1:11" x14ac:dyDescent="0.25">
      <c r="A1092" s="1">
        <v>1070</v>
      </c>
      <c r="B1092">
        <v>54</v>
      </c>
      <c r="C1092">
        <v>31.9</v>
      </c>
      <c r="D1092">
        <v>1</v>
      </c>
      <c r="E1092">
        <f t="shared" si="17"/>
        <v>0</v>
      </c>
      <c r="F1092">
        <v>10928.849</v>
      </c>
      <c r="G1092" t="s">
        <v>12</v>
      </c>
      <c r="H1092" t="s">
        <v>11</v>
      </c>
      <c r="I1092" t="s">
        <v>7</v>
      </c>
      <c r="J1092">
        <f>_xlfn.XLOOKUP(C1092,dim_BMI!$C$2:$C$7,dim_BMI!$A$2:$A$7,,1)</f>
        <v>4</v>
      </c>
      <c r="K1092" t="str">
        <f>_xlfn.XLOOKUP(C1092,dim_BMI!$C$2:$C$7,dim_BMI!$B$2:$B$7,,1)</f>
        <v>30.0 to 34.9 (Obesity Class 1)</v>
      </c>
    </row>
    <row r="1093" spans="1:11" x14ac:dyDescent="0.25">
      <c r="A1093" s="1">
        <v>1074</v>
      </c>
      <c r="B1093">
        <v>54</v>
      </c>
      <c r="C1093">
        <v>28.88</v>
      </c>
      <c r="D1093">
        <v>2</v>
      </c>
      <c r="E1093">
        <f t="shared" si="17"/>
        <v>0</v>
      </c>
      <c r="F1093">
        <v>12096.6512</v>
      </c>
      <c r="G1093" t="s">
        <v>14</v>
      </c>
      <c r="H1093" t="s">
        <v>11</v>
      </c>
      <c r="I1093" t="s">
        <v>7</v>
      </c>
      <c r="J1093">
        <f>_xlfn.XLOOKUP(C1093,dim_BMI!$C$2:$C$7,dim_BMI!$A$2:$A$7,,1)</f>
        <v>3</v>
      </c>
      <c r="K1093" t="str">
        <f>_xlfn.XLOOKUP(C1093,dim_BMI!$C$2:$C$7,dim_BMI!$B$2:$B$7,,1)</f>
        <v>25.0 to 29.9 (Overweight)</v>
      </c>
    </row>
    <row r="1094" spans="1:11" x14ac:dyDescent="0.25">
      <c r="A1094" s="1">
        <v>1106</v>
      </c>
      <c r="B1094">
        <v>54</v>
      </c>
      <c r="C1094">
        <v>31.24</v>
      </c>
      <c r="D1094">
        <v>0</v>
      </c>
      <c r="E1094">
        <f t="shared" si="17"/>
        <v>0</v>
      </c>
      <c r="F1094">
        <v>10338.9316</v>
      </c>
      <c r="G1094" t="s">
        <v>12</v>
      </c>
      <c r="H1094" t="s">
        <v>11</v>
      </c>
      <c r="I1094" t="s">
        <v>7</v>
      </c>
      <c r="J1094">
        <f>_xlfn.XLOOKUP(C1094,dim_BMI!$C$2:$C$7,dim_BMI!$A$2:$A$7,,1)</f>
        <v>4</v>
      </c>
      <c r="K1094" t="str">
        <f>_xlfn.XLOOKUP(C1094,dim_BMI!$C$2:$C$7,dim_BMI!$B$2:$B$7,,1)</f>
        <v>30.0 to 34.9 (Obesity Class 1)</v>
      </c>
    </row>
    <row r="1095" spans="1:11" x14ac:dyDescent="0.25">
      <c r="A1095" s="1">
        <v>1111</v>
      </c>
      <c r="B1095">
        <v>54</v>
      </c>
      <c r="C1095">
        <v>32.299999999999997</v>
      </c>
      <c r="D1095">
        <v>1</v>
      </c>
      <c r="E1095">
        <f t="shared" si="17"/>
        <v>0</v>
      </c>
      <c r="F1095">
        <v>11512.405000000001</v>
      </c>
      <c r="G1095" t="s">
        <v>14</v>
      </c>
      <c r="H1095" t="s">
        <v>11</v>
      </c>
      <c r="I1095" t="s">
        <v>7</v>
      </c>
      <c r="J1095">
        <f>_xlfn.XLOOKUP(C1095,dim_BMI!$C$2:$C$7,dim_BMI!$A$2:$A$7,,1)</f>
        <v>4</v>
      </c>
      <c r="K1095" t="str">
        <f>_xlfn.XLOOKUP(C1095,dim_BMI!$C$2:$C$7,dim_BMI!$B$2:$B$7,,1)</f>
        <v>30.0 to 34.9 (Obesity Class 1)</v>
      </c>
    </row>
    <row r="1096" spans="1:11" x14ac:dyDescent="0.25">
      <c r="A1096" s="1">
        <v>1233</v>
      </c>
      <c r="B1096">
        <v>54</v>
      </c>
      <c r="C1096">
        <v>24.605</v>
      </c>
      <c r="D1096">
        <v>3</v>
      </c>
      <c r="E1096">
        <f t="shared" si="17"/>
        <v>0</v>
      </c>
      <c r="F1096">
        <v>12479.70895</v>
      </c>
      <c r="G1096" t="s">
        <v>13</v>
      </c>
      <c r="H1096" t="s">
        <v>11</v>
      </c>
      <c r="I1096" t="s">
        <v>7</v>
      </c>
      <c r="J1096">
        <f>_xlfn.XLOOKUP(C1096,dim_BMI!$C$2:$C$7,dim_BMI!$A$2:$A$7,,1)</f>
        <v>2</v>
      </c>
      <c r="K1096" t="str">
        <f>_xlfn.XLOOKUP(C1096,dim_BMI!$C$2:$C$7,dim_BMI!$B$2:$B$7,,1)</f>
        <v>18.5 to 24.9 (Healthy Weight)</v>
      </c>
    </row>
    <row r="1097" spans="1:11" x14ac:dyDescent="0.25">
      <c r="A1097" s="1">
        <v>1258</v>
      </c>
      <c r="B1097">
        <v>54</v>
      </c>
      <c r="C1097">
        <v>27.645</v>
      </c>
      <c r="D1097">
        <v>1</v>
      </c>
      <c r="E1097">
        <f t="shared" si="17"/>
        <v>0</v>
      </c>
      <c r="F1097">
        <v>11305.93455</v>
      </c>
      <c r="G1097" t="s">
        <v>13</v>
      </c>
      <c r="H1097" t="s">
        <v>11</v>
      </c>
      <c r="I1097" t="s">
        <v>7</v>
      </c>
      <c r="J1097">
        <f>_xlfn.XLOOKUP(C1097,dim_BMI!$C$2:$C$7,dim_BMI!$A$2:$A$7,,1)</f>
        <v>3</v>
      </c>
      <c r="K1097" t="str">
        <f>_xlfn.XLOOKUP(C1097,dim_BMI!$C$2:$C$7,dim_BMI!$B$2:$B$7,,1)</f>
        <v>25.0 to 29.9 (Overweight)</v>
      </c>
    </row>
    <row r="1098" spans="1:11" x14ac:dyDescent="0.25">
      <c r="A1098" s="1">
        <v>28</v>
      </c>
      <c r="B1098">
        <v>55</v>
      </c>
      <c r="C1098">
        <v>32.774999999999999</v>
      </c>
      <c r="D1098">
        <v>2</v>
      </c>
      <c r="E1098">
        <f t="shared" si="17"/>
        <v>0</v>
      </c>
      <c r="F1098">
        <v>12268.632250000001</v>
      </c>
      <c r="G1098" t="s">
        <v>13</v>
      </c>
      <c r="H1098" t="s">
        <v>11</v>
      </c>
      <c r="I1098" t="s">
        <v>7</v>
      </c>
      <c r="J1098">
        <f>_xlfn.XLOOKUP(C1098,dim_BMI!$C$2:$C$7,dim_BMI!$A$2:$A$7,,1)</f>
        <v>4</v>
      </c>
      <c r="K1098" t="str">
        <f>_xlfn.XLOOKUP(C1098,dim_BMI!$C$2:$C$7,dim_BMI!$B$2:$B$7,,1)</f>
        <v>30.0 to 34.9 (Obesity Class 1)</v>
      </c>
    </row>
    <row r="1099" spans="1:11" x14ac:dyDescent="0.25">
      <c r="A1099" s="1">
        <v>46</v>
      </c>
      <c r="B1099">
        <v>55</v>
      </c>
      <c r="C1099">
        <v>37.299999999999997</v>
      </c>
      <c r="D1099">
        <v>0</v>
      </c>
      <c r="E1099">
        <f t="shared" si="17"/>
        <v>0</v>
      </c>
      <c r="F1099">
        <v>20630.283510000001</v>
      </c>
      <c r="G1099" t="s">
        <v>9</v>
      </c>
      <c r="H1099" t="s">
        <v>11</v>
      </c>
      <c r="I1099" t="s">
        <v>10</v>
      </c>
      <c r="J1099">
        <f>_xlfn.XLOOKUP(C1099,dim_BMI!$C$2:$C$7,dim_BMI!$A$2:$A$7,,1)</f>
        <v>5</v>
      </c>
      <c r="K1099" t="str">
        <f>_xlfn.XLOOKUP(C1099,dim_BMI!$C$2:$C$7,dim_BMI!$B$2:$B$7,,1)</f>
        <v>35 to 39.9 (Obesity Class 2)</v>
      </c>
    </row>
    <row r="1100" spans="1:11" x14ac:dyDescent="0.25">
      <c r="A1100" s="1">
        <v>90</v>
      </c>
      <c r="B1100">
        <v>55</v>
      </c>
      <c r="C1100">
        <v>26.98</v>
      </c>
      <c r="D1100">
        <v>0</v>
      </c>
      <c r="E1100">
        <f t="shared" si="17"/>
        <v>0</v>
      </c>
      <c r="F1100">
        <v>11082.5772</v>
      </c>
      <c r="G1100" t="s">
        <v>13</v>
      </c>
      <c r="H1100" t="s">
        <v>11</v>
      </c>
      <c r="I1100" t="s">
        <v>7</v>
      </c>
      <c r="J1100">
        <f>_xlfn.XLOOKUP(C1100,dim_BMI!$C$2:$C$7,dim_BMI!$A$2:$A$7,,1)</f>
        <v>3</v>
      </c>
      <c r="K1100" t="str">
        <f>_xlfn.XLOOKUP(C1100,dim_BMI!$C$2:$C$7,dim_BMI!$B$2:$B$7,,1)</f>
        <v>25.0 to 29.9 (Overweight)</v>
      </c>
    </row>
    <row r="1101" spans="1:11" x14ac:dyDescent="0.25">
      <c r="A1101" s="1">
        <v>98</v>
      </c>
      <c r="B1101">
        <v>55</v>
      </c>
      <c r="C1101">
        <v>38.28</v>
      </c>
      <c r="D1101">
        <v>0</v>
      </c>
      <c r="E1101">
        <f t="shared" si="17"/>
        <v>0</v>
      </c>
      <c r="F1101">
        <v>10226.2842</v>
      </c>
      <c r="G1101" t="s">
        <v>12</v>
      </c>
      <c r="H1101" t="s">
        <v>11</v>
      </c>
      <c r="I1101" t="s">
        <v>10</v>
      </c>
      <c r="J1101">
        <f>_xlfn.XLOOKUP(C1101,dim_BMI!$C$2:$C$7,dim_BMI!$A$2:$A$7,,1)</f>
        <v>5</v>
      </c>
      <c r="K1101" t="str">
        <f>_xlfn.XLOOKUP(C1101,dim_BMI!$C$2:$C$7,dim_BMI!$B$2:$B$7,,1)</f>
        <v>35 to 39.9 (Obesity Class 2)</v>
      </c>
    </row>
    <row r="1102" spans="1:11" x14ac:dyDescent="0.25">
      <c r="A1102" s="1">
        <v>112</v>
      </c>
      <c r="B1102">
        <v>55</v>
      </c>
      <c r="C1102">
        <v>29.7</v>
      </c>
      <c r="D1102">
        <v>2</v>
      </c>
      <c r="E1102">
        <f t="shared" si="17"/>
        <v>0</v>
      </c>
      <c r="F1102">
        <v>11881.358</v>
      </c>
      <c r="G1102" t="s">
        <v>9</v>
      </c>
      <c r="H1102" t="s">
        <v>11</v>
      </c>
      <c r="I1102" t="s">
        <v>7</v>
      </c>
      <c r="J1102">
        <f>_xlfn.XLOOKUP(C1102,dim_BMI!$C$2:$C$7,dim_BMI!$A$2:$A$7,,1)</f>
        <v>3</v>
      </c>
      <c r="K1102" t="str">
        <f>_xlfn.XLOOKUP(C1102,dim_BMI!$C$2:$C$7,dim_BMI!$B$2:$B$7,,1)</f>
        <v>25.0 to 29.9 (Overweight)</v>
      </c>
    </row>
    <row r="1103" spans="1:11" x14ac:dyDescent="0.25">
      <c r="A1103" s="1">
        <v>226</v>
      </c>
      <c r="B1103">
        <v>55</v>
      </c>
      <c r="C1103">
        <v>33.880000000000003</v>
      </c>
      <c r="D1103">
        <v>3</v>
      </c>
      <c r="E1103">
        <f t="shared" si="17"/>
        <v>0</v>
      </c>
      <c r="F1103">
        <v>11987.1682</v>
      </c>
      <c r="G1103" t="s">
        <v>12</v>
      </c>
      <c r="H1103" t="s">
        <v>11</v>
      </c>
      <c r="I1103" t="s">
        <v>10</v>
      </c>
      <c r="J1103">
        <f>_xlfn.XLOOKUP(C1103,dim_BMI!$C$2:$C$7,dim_BMI!$A$2:$A$7,,1)</f>
        <v>4</v>
      </c>
      <c r="K1103" t="str">
        <f>_xlfn.XLOOKUP(C1103,dim_BMI!$C$2:$C$7,dim_BMI!$B$2:$B$7,,1)</f>
        <v>30.0 to 34.9 (Obesity Class 1)</v>
      </c>
    </row>
    <row r="1104" spans="1:11" x14ac:dyDescent="0.25">
      <c r="A1104" s="1">
        <v>243</v>
      </c>
      <c r="B1104">
        <v>55</v>
      </c>
      <c r="C1104">
        <v>26.8</v>
      </c>
      <c r="D1104">
        <v>1</v>
      </c>
      <c r="E1104">
        <f t="shared" si="17"/>
        <v>0</v>
      </c>
      <c r="F1104">
        <v>35160.134570000002</v>
      </c>
      <c r="G1104" t="s">
        <v>9</v>
      </c>
      <c r="H1104" t="s">
        <v>11</v>
      </c>
      <c r="I1104" t="s">
        <v>7</v>
      </c>
      <c r="J1104">
        <f>_xlfn.XLOOKUP(C1104,dim_BMI!$C$2:$C$7,dim_BMI!$A$2:$A$7,,1)</f>
        <v>3</v>
      </c>
      <c r="K1104" t="str">
        <f>_xlfn.XLOOKUP(C1104,dim_BMI!$C$2:$C$7,dim_BMI!$B$2:$B$7,,1)</f>
        <v>25.0 to 29.9 (Overweight)</v>
      </c>
    </row>
    <row r="1105" spans="1:11" x14ac:dyDescent="0.25">
      <c r="A1105" s="1">
        <v>256</v>
      </c>
      <c r="B1105">
        <v>55</v>
      </c>
      <c r="C1105">
        <v>25.364999999999998</v>
      </c>
      <c r="D1105">
        <v>3</v>
      </c>
      <c r="E1105">
        <f t="shared" si="17"/>
        <v>0</v>
      </c>
      <c r="F1105">
        <v>13047.332350000001</v>
      </c>
      <c r="G1105" t="s">
        <v>14</v>
      </c>
      <c r="H1105" t="s">
        <v>11</v>
      </c>
      <c r="I1105" t="s">
        <v>7</v>
      </c>
      <c r="J1105">
        <f>_xlfn.XLOOKUP(C1105,dim_BMI!$C$2:$C$7,dim_BMI!$A$2:$A$7,,1)</f>
        <v>3</v>
      </c>
      <c r="K1105" t="str">
        <f>_xlfn.XLOOKUP(C1105,dim_BMI!$C$2:$C$7,dim_BMI!$B$2:$B$7,,1)</f>
        <v>25.0 to 29.9 (Overweight)</v>
      </c>
    </row>
    <row r="1106" spans="1:11" x14ac:dyDescent="0.25">
      <c r="A1106" s="1">
        <v>284</v>
      </c>
      <c r="B1106">
        <v>55</v>
      </c>
      <c r="C1106">
        <v>32.395000000000003</v>
      </c>
      <c r="D1106">
        <v>1</v>
      </c>
      <c r="E1106">
        <f t="shared" si="17"/>
        <v>0</v>
      </c>
      <c r="F1106">
        <v>11879.10405</v>
      </c>
      <c r="G1106" t="s">
        <v>14</v>
      </c>
      <c r="H1106" t="s">
        <v>11</v>
      </c>
      <c r="I1106" t="s">
        <v>7</v>
      </c>
      <c r="J1106">
        <f>_xlfn.XLOOKUP(C1106,dim_BMI!$C$2:$C$7,dim_BMI!$A$2:$A$7,,1)</f>
        <v>4</v>
      </c>
      <c r="K1106" t="str">
        <f>_xlfn.XLOOKUP(C1106,dim_BMI!$C$2:$C$7,dim_BMI!$B$2:$B$7,,1)</f>
        <v>30.0 to 34.9 (Obesity Class 1)</v>
      </c>
    </row>
    <row r="1107" spans="1:11" x14ac:dyDescent="0.25">
      <c r="A1107" s="1">
        <v>382</v>
      </c>
      <c r="B1107">
        <v>55</v>
      </c>
      <c r="C1107">
        <v>30.684999999999999</v>
      </c>
      <c r="D1107">
        <v>0</v>
      </c>
      <c r="E1107">
        <f t="shared" si="17"/>
        <v>1</v>
      </c>
      <c r="F1107">
        <v>42303.692150000003</v>
      </c>
      <c r="G1107" t="s">
        <v>14</v>
      </c>
      <c r="H1107" t="s">
        <v>8</v>
      </c>
      <c r="I1107" t="s">
        <v>10</v>
      </c>
      <c r="J1107">
        <f>_xlfn.XLOOKUP(C1107,dim_BMI!$C$2:$C$7,dim_BMI!$A$2:$A$7,,1)</f>
        <v>4</v>
      </c>
      <c r="K1107" t="str">
        <f>_xlfn.XLOOKUP(C1107,dim_BMI!$C$2:$C$7,dim_BMI!$B$2:$B$7,,1)</f>
        <v>30.0 to 34.9 (Obesity Class 1)</v>
      </c>
    </row>
    <row r="1108" spans="1:11" x14ac:dyDescent="0.25">
      <c r="A1108" s="1">
        <v>383</v>
      </c>
      <c r="B1108">
        <v>55</v>
      </c>
      <c r="C1108">
        <v>33</v>
      </c>
      <c r="D1108">
        <v>0</v>
      </c>
      <c r="E1108">
        <f t="shared" si="17"/>
        <v>0</v>
      </c>
      <c r="F1108">
        <v>20781.48892</v>
      </c>
      <c r="G1108" t="s">
        <v>12</v>
      </c>
      <c r="H1108" t="s">
        <v>11</v>
      </c>
      <c r="I1108" t="s">
        <v>10</v>
      </c>
      <c r="J1108">
        <f>_xlfn.XLOOKUP(C1108,dim_BMI!$C$2:$C$7,dim_BMI!$A$2:$A$7,,1)</f>
        <v>4</v>
      </c>
      <c r="K1108" t="str">
        <f>_xlfn.XLOOKUP(C1108,dim_BMI!$C$2:$C$7,dim_BMI!$B$2:$B$7,,1)</f>
        <v>30.0 to 34.9 (Obesity Class 1)</v>
      </c>
    </row>
    <row r="1109" spans="1:11" x14ac:dyDescent="0.25">
      <c r="A1109" s="1">
        <v>457</v>
      </c>
      <c r="B1109">
        <v>55</v>
      </c>
      <c r="C1109">
        <v>30.14</v>
      </c>
      <c r="D1109">
        <v>2</v>
      </c>
      <c r="E1109">
        <f t="shared" si="17"/>
        <v>0</v>
      </c>
      <c r="F1109">
        <v>11881.9696</v>
      </c>
      <c r="G1109" t="s">
        <v>12</v>
      </c>
      <c r="H1109" t="s">
        <v>11</v>
      </c>
      <c r="I1109" t="s">
        <v>7</v>
      </c>
      <c r="J1109">
        <f>_xlfn.XLOOKUP(C1109,dim_BMI!$C$2:$C$7,dim_BMI!$A$2:$A$7,,1)</f>
        <v>4</v>
      </c>
      <c r="K1109" t="str">
        <f>_xlfn.XLOOKUP(C1109,dim_BMI!$C$2:$C$7,dim_BMI!$B$2:$B$7,,1)</f>
        <v>30.0 to 34.9 (Obesity Class 1)</v>
      </c>
    </row>
    <row r="1110" spans="1:11" x14ac:dyDescent="0.25">
      <c r="A1110" s="1">
        <v>620</v>
      </c>
      <c r="B1110">
        <v>55</v>
      </c>
      <c r="C1110">
        <v>37.1</v>
      </c>
      <c r="D1110">
        <v>0</v>
      </c>
      <c r="E1110">
        <f t="shared" si="17"/>
        <v>0</v>
      </c>
      <c r="F1110">
        <v>10713.644</v>
      </c>
      <c r="G1110" t="s">
        <v>9</v>
      </c>
      <c r="H1110" t="s">
        <v>11</v>
      </c>
      <c r="I1110" t="s">
        <v>7</v>
      </c>
      <c r="J1110">
        <f>_xlfn.XLOOKUP(C1110,dim_BMI!$C$2:$C$7,dim_BMI!$A$2:$A$7,,1)</f>
        <v>5</v>
      </c>
      <c r="K1110" t="str">
        <f>_xlfn.XLOOKUP(C1110,dim_BMI!$C$2:$C$7,dim_BMI!$B$2:$B$7,,1)</f>
        <v>35 to 39.9 (Obesity Class 2)</v>
      </c>
    </row>
    <row r="1111" spans="1:11" x14ac:dyDescent="0.25">
      <c r="A1111" s="1">
        <v>677</v>
      </c>
      <c r="B1111">
        <v>55</v>
      </c>
      <c r="C1111">
        <v>40.81</v>
      </c>
      <c r="D1111">
        <v>3</v>
      </c>
      <c r="E1111">
        <f t="shared" si="17"/>
        <v>0</v>
      </c>
      <c r="F1111">
        <v>12485.8009</v>
      </c>
      <c r="G1111" t="s">
        <v>12</v>
      </c>
      <c r="H1111" t="s">
        <v>11</v>
      </c>
      <c r="I1111" t="s">
        <v>7</v>
      </c>
      <c r="J1111">
        <f>_xlfn.XLOOKUP(C1111,dim_BMI!$C$2:$C$7,dim_BMI!$A$2:$A$7,,1)</f>
        <v>6</v>
      </c>
      <c r="K1111" t="str">
        <f>_xlfn.XLOOKUP(C1111,dim_BMI!$C$2:$C$7,dim_BMI!$B$2:$B$7,,1)</f>
        <v>40 or higher (Severe Obesity Class 3)</v>
      </c>
    </row>
    <row r="1112" spans="1:11" x14ac:dyDescent="0.25">
      <c r="A1112" s="1">
        <v>850</v>
      </c>
      <c r="B1112">
        <v>55</v>
      </c>
      <c r="C1112">
        <v>32.774999999999999</v>
      </c>
      <c r="D1112">
        <v>0</v>
      </c>
      <c r="E1112">
        <f t="shared" si="17"/>
        <v>0</v>
      </c>
      <c r="F1112">
        <v>10601.632250000001</v>
      </c>
      <c r="G1112" t="s">
        <v>13</v>
      </c>
      <c r="H1112" t="s">
        <v>11</v>
      </c>
      <c r="I1112" t="s">
        <v>10</v>
      </c>
      <c r="J1112">
        <f>_xlfn.XLOOKUP(C1112,dim_BMI!$C$2:$C$7,dim_BMI!$A$2:$A$7,,1)</f>
        <v>4</v>
      </c>
      <c r="K1112" t="str">
        <f>_xlfn.XLOOKUP(C1112,dim_BMI!$C$2:$C$7,dim_BMI!$B$2:$B$7,,1)</f>
        <v>30.0 to 34.9 (Obesity Class 1)</v>
      </c>
    </row>
    <row r="1113" spans="1:11" x14ac:dyDescent="0.25">
      <c r="A1113" s="1">
        <v>863</v>
      </c>
      <c r="B1113">
        <v>55</v>
      </c>
      <c r="C1113">
        <v>33.534999999999997</v>
      </c>
      <c r="D1113">
        <v>2</v>
      </c>
      <c r="E1113">
        <f t="shared" si="17"/>
        <v>0</v>
      </c>
      <c r="F1113">
        <v>12269.68865</v>
      </c>
      <c r="G1113" t="s">
        <v>13</v>
      </c>
      <c r="H1113" t="s">
        <v>11</v>
      </c>
      <c r="I1113" t="s">
        <v>7</v>
      </c>
      <c r="J1113">
        <f>_xlfn.XLOOKUP(C1113,dim_BMI!$C$2:$C$7,dim_BMI!$A$2:$A$7,,1)</f>
        <v>4</v>
      </c>
      <c r="K1113" t="str">
        <f>_xlfn.XLOOKUP(C1113,dim_BMI!$C$2:$C$7,dim_BMI!$B$2:$B$7,,1)</f>
        <v>30.0 to 34.9 (Obesity Class 1)</v>
      </c>
    </row>
    <row r="1114" spans="1:11" x14ac:dyDescent="0.25">
      <c r="A1114" s="1">
        <v>1032</v>
      </c>
      <c r="B1114">
        <v>55</v>
      </c>
      <c r="C1114">
        <v>35.200000000000003</v>
      </c>
      <c r="D1114">
        <v>0</v>
      </c>
      <c r="E1114">
        <f t="shared" si="17"/>
        <v>1</v>
      </c>
      <c r="F1114">
        <v>44423.803</v>
      </c>
      <c r="G1114" t="s">
        <v>12</v>
      </c>
      <c r="H1114" t="s">
        <v>8</v>
      </c>
      <c r="I1114" t="s">
        <v>7</v>
      </c>
      <c r="J1114">
        <f>_xlfn.XLOOKUP(C1114,dim_BMI!$C$2:$C$7,dim_BMI!$A$2:$A$7,,1)</f>
        <v>5</v>
      </c>
      <c r="K1114" t="str">
        <f>_xlfn.XLOOKUP(C1114,dim_BMI!$C$2:$C$7,dim_BMI!$B$2:$B$7,,1)</f>
        <v>35 to 39.9 (Obesity Class 2)</v>
      </c>
    </row>
    <row r="1115" spans="1:11" x14ac:dyDescent="0.25">
      <c r="A1115" s="1">
        <v>1045</v>
      </c>
      <c r="B1115">
        <v>55</v>
      </c>
      <c r="C1115">
        <v>35.244999999999997</v>
      </c>
      <c r="D1115">
        <v>1</v>
      </c>
      <c r="E1115">
        <f t="shared" si="17"/>
        <v>0</v>
      </c>
      <c r="F1115">
        <v>11394.065549999999</v>
      </c>
      <c r="G1115" t="s">
        <v>14</v>
      </c>
      <c r="H1115" t="s">
        <v>11</v>
      </c>
      <c r="I1115" t="s">
        <v>10</v>
      </c>
      <c r="J1115">
        <f>_xlfn.XLOOKUP(C1115,dim_BMI!$C$2:$C$7,dim_BMI!$A$2:$A$7,,1)</f>
        <v>5</v>
      </c>
      <c r="K1115" t="str">
        <f>_xlfn.XLOOKUP(C1115,dim_BMI!$C$2:$C$7,dim_BMI!$B$2:$B$7,,1)</f>
        <v>35 to 39.9 (Obesity Class 2)</v>
      </c>
    </row>
    <row r="1116" spans="1:11" x14ac:dyDescent="0.25">
      <c r="A1116" s="1">
        <v>1056</v>
      </c>
      <c r="B1116">
        <v>55</v>
      </c>
      <c r="C1116">
        <v>27.645</v>
      </c>
      <c r="D1116">
        <v>0</v>
      </c>
      <c r="E1116">
        <f t="shared" si="17"/>
        <v>0</v>
      </c>
      <c r="F1116">
        <v>10594.501550000001</v>
      </c>
      <c r="G1116" t="s">
        <v>13</v>
      </c>
      <c r="H1116" t="s">
        <v>11</v>
      </c>
      <c r="I1116" t="s">
        <v>10</v>
      </c>
      <c r="J1116">
        <f>_xlfn.XLOOKUP(C1116,dim_BMI!$C$2:$C$7,dim_BMI!$A$2:$A$7,,1)</f>
        <v>3</v>
      </c>
      <c r="K1116" t="str">
        <f>_xlfn.XLOOKUP(C1116,dim_BMI!$C$2:$C$7,dim_BMI!$B$2:$B$7,,1)</f>
        <v>25.0 to 29.9 (Overweight)</v>
      </c>
    </row>
    <row r="1117" spans="1:11" x14ac:dyDescent="0.25">
      <c r="A1117" s="1">
        <v>1087</v>
      </c>
      <c r="B1117">
        <v>55</v>
      </c>
      <c r="C1117">
        <v>28.975000000000001</v>
      </c>
      <c r="D1117">
        <v>0</v>
      </c>
      <c r="E1117">
        <f t="shared" si="17"/>
        <v>0</v>
      </c>
      <c r="F1117">
        <v>10796.35025</v>
      </c>
      <c r="G1117" t="s">
        <v>14</v>
      </c>
      <c r="H1117" t="s">
        <v>11</v>
      </c>
      <c r="I1117" t="s">
        <v>10</v>
      </c>
      <c r="J1117">
        <f>_xlfn.XLOOKUP(C1117,dim_BMI!$C$2:$C$7,dim_BMI!$A$2:$A$7,,1)</f>
        <v>3</v>
      </c>
      <c r="K1117" t="str">
        <f>_xlfn.XLOOKUP(C1117,dim_BMI!$C$2:$C$7,dim_BMI!$B$2:$B$7,,1)</f>
        <v>25.0 to 29.9 (Overweight)</v>
      </c>
    </row>
    <row r="1118" spans="1:11" x14ac:dyDescent="0.25">
      <c r="A1118" s="1">
        <v>1092</v>
      </c>
      <c r="B1118">
        <v>55</v>
      </c>
      <c r="C1118">
        <v>29.83</v>
      </c>
      <c r="D1118">
        <v>0</v>
      </c>
      <c r="E1118">
        <f t="shared" si="17"/>
        <v>0</v>
      </c>
      <c r="F1118">
        <v>11286.538699999999</v>
      </c>
      <c r="G1118" t="s">
        <v>14</v>
      </c>
      <c r="H1118" t="s">
        <v>11</v>
      </c>
      <c r="I1118" t="s">
        <v>7</v>
      </c>
      <c r="J1118">
        <f>_xlfn.XLOOKUP(C1118,dim_BMI!$C$2:$C$7,dim_BMI!$A$2:$A$7,,1)</f>
        <v>3</v>
      </c>
      <c r="K1118" t="str">
        <f>_xlfn.XLOOKUP(C1118,dim_BMI!$C$2:$C$7,dim_BMI!$B$2:$B$7,,1)</f>
        <v>25.0 to 29.9 (Overweight)</v>
      </c>
    </row>
    <row r="1119" spans="1:11" x14ac:dyDescent="0.25">
      <c r="A1119" s="1">
        <v>1116</v>
      </c>
      <c r="B1119">
        <v>55</v>
      </c>
      <c r="C1119">
        <v>32.67</v>
      </c>
      <c r="D1119">
        <v>1</v>
      </c>
      <c r="E1119">
        <f t="shared" si="17"/>
        <v>0</v>
      </c>
      <c r="F1119">
        <v>10807.4863</v>
      </c>
      <c r="G1119" t="s">
        <v>12</v>
      </c>
      <c r="H1119" t="s">
        <v>11</v>
      </c>
      <c r="I1119" t="s">
        <v>10</v>
      </c>
      <c r="J1119">
        <f>_xlfn.XLOOKUP(C1119,dim_BMI!$C$2:$C$7,dim_BMI!$A$2:$A$7,,1)</f>
        <v>4</v>
      </c>
      <c r="K1119" t="str">
        <f>_xlfn.XLOOKUP(C1119,dim_BMI!$C$2:$C$7,dim_BMI!$B$2:$B$7,,1)</f>
        <v>30.0 to 34.9 (Obesity Class 1)</v>
      </c>
    </row>
    <row r="1120" spans="1:11" x14ac:dyDescent="0.25">
      <c r="A1120" s="1">
        <v>1127</v>
      </c>
      <c r="B1120">
        <v>55</v>
      </c>
      <c r="C1120">
        <v>29.9</v>
      </c>
      <c r="D1120">
        <v>0</v>
      </c>
      <c r="E1120">
        <f t="shared" si="17"/>
        <v>0</v>
      </c>
      <c r="F1120">
        <v>10214.636</v>
      </c>
      <c r="G1120" t="s">
        <v>9</v>
      </c>
      <c r="H1120" t="s">
        <v>11</v>
      </c>
      <c r="I1120" t="s">
        <v>10</v>
      </c>
      <c r="J1120">
        <f>_xlfn.XLOOKUP(C1120,dim_BMI!$C$2:$C$7,dim_BMI!$A$2:$A$7,,1)</f>
        <v>3</v>
      </c>
      <c r="K1120" t="str">
        <f>_xlfn.XLOOKUP(C1120,dim_BMI!$C$2:$C$7,dim_BMI!$B$2:$B$7,,1)</f>
        <v>25.0 to 29.9 (Overweight)</v>
      </c>
    </row>
    <row r="1121" spans="1:11" x14ac:dyDescent="0.25">
      <c r="A1121" s="1">
        <v>1149</v>
      </c>
      <c r="B1121">
        <v>55</v>
      </c>
      <c r="C1121">
        <v>21.5</v>
      </c>
      <c r="D1121">
        <v>1</v>
      </c>
      <c r="E1121">
        <f t="shared" si="17"/>
        <v>0</v>
      </c>
      <c r="F1121">
        <v>10791.96</v>
      </c>
      <c r="G1121" t="s">
        <v>9</v>
      </c>
      <c r="H1121" t="s">
        <v>11</v>
      </c>
      <c r="I1121" t="s">
        <v>10</v>
      </c>
      <c r="J1121">
        <f>_xlfn.XLOOKUP(C1121,dim_BMI!$C$2:$C$7,dim_BMI!$A$2:$A$7,,1)</f>
        <v>2</v>
      </c>
      <c r="K1121" t="str">
        <f>_xlfn.XLOOKUP(C1121,dim_BMI!$C$2:$C$7,dim_BMI!$B$2:$B$7,,1)</f>
        <v>18.5 to 24.9 (Healthy Weight)</v>
      </c>
    </row>
    <row r="1122" spans="1:11" x14ac:dyDescent="0.25">
      <c r="A1122" s="1">
        <v>1259</v>
      </c>
      <c r="B1122">
        <v>55</v>
      </c>
      <c r="C1122">
        <v>37.715000000000003</v>
      </c>
      <c r="D1122">
        <v>3</v>
      </c>
      <c r="E1122">
        <f t="shared" si="17"/>
        <v>0</v>
      </c>
      <c r="F1122">
        <v>30063.580549999999</v>
      </c>
      <c r="G1122" t="s">
        <v>13</v>
      </c>
      <c r="H1122" t="s">
        <v>11</v>
      </c>
      <c r="I1122" t="s">
        <v>10</v>
      </c>
      <c r="J1122">
        <f>_xlfn.XLOOKUP(C1122,dim_BMI!$C$2:$C$7,dim_BMI!$A$2:$A$7,,1)</f>
        <v>5</v>
      </c>
      <c r="K1122" t="str">
        <f>_xlfn.XLOOKUP(C1122,dim_BMI!$C$2:$C$7,dim_BMI!$B$2:$B$7,,1)</f>
        <v>35 to 39.9 (Obesity Class 2)</v>
      </c>
    </row>
    <row r="1123" spans="1:11" x14ac:dyDescent="0.25">
      <c r="A1123" s="1">
        <v>1267</v>
      </c>
      <c r="B1123">
        <v>55</v>
      </c>
      <c r="C1123">
        <v>30.5</v>
      </c>
      <c r="D1123">
        <v>0</v>
      </c>
      <c r="E1123">
        <f t="shared" si="17"/>
        <v>0</v>
      </c>
      <c r="F1123">
        <v>10704.47</v>
      </c>
      <c r="G1123" t="s">
        <v>9</v>
      </c>
      <c r="H1123" t="s">
        <v>11</v>
      </c>
      <c r="I1123" t="s">
        <v>7</v>
      </c>
      <c r="J1123">
        <f>_xlfn.XLOOKUP(C1123,dim_BMI!$C$2:$C$7,dim_BMI!$A$2:$A$7,,1)</f>
        <v>4</v>
      </c>
      <c r="K1123" t="str">
        <f>_xlfn.XLOOKUP(C1123,dim_BMI!$C$2:$C$7,dim_BMI!$B$2:$B$7,,1)</f>
        <v>30.0 to 34.9 (Obesity Class 1)</v>
      </c>
    </row>
    <row r="1124" spans="1:11" x14ac:dyDescent="0.25">
      <c r="A1124" s="1">
        <v>14</v>
      </c>
      <c r="B1124">
        <v>56</v>
      </c>
      <c r="C1124">
        <v>39.82</v>
      </c>
      <c r="D1124">
        <v>0</v>
      </c>
      <c r="E1124">
        <f t="shared" si="17"/>
        <v>0</v>
      </c>
      <c r="F1124">
        <v>11090.7178</v>
      </c>
      <c r="G1124" t="s">
        <v>12</v>
      </c>
      <c r="H1124" t="s">
        <v>11</v>
      </c>
      <c r="I1124" t="s">
        <v>7</v>
      </c>
      <c r="J1124">
        <f>_xlfn.XLOOKUP(C1124,dim_BMI!$C$2:$C$7,dim_BMI!$A$2:$A$7,,1)</f>
        <v>5</v>
      </c>
      <c r="K1124" t="str">
        <f>_xlfn.XLOOKUP(C1124,dim_BMI!$C$2:$C$7,dim_BMI!$B$2:$B$7,,1)</f>
        <v>35 to 39.9 (Obesity Class 2)</v>
      </c>
    </row>
    <row r="1125" spans="1:11" x14ac:dyDescent="0.25">
      <c r="A1125" s="1">
        <v>19</v>
      </c>
      <c r="B1125">
        <v>56</v>
      </c>
      <c r="C1125">
        <v>40.299999999999997</v>
      </c>
      <c r="D1125">
        <v>0</v>
      </c>
      <c r="E1125">
        <f t="shared" si="17"/>
        <v>0</v>
      </c>
      <c r="F1125">
        <v>10602.385</v>
      </c>
      <c r="G1125" t="s">
        <v>9</v>
      </c>
      <c r="H1125" t="s">
        <v>11</v>
      </c>
      <c r="I1125" t="s">
        <v>10</v>
      </c>
      <c r="J1125">
        <f>_xlfn.XLOOKUP(C1125,dim_BMI!$C$2:$C$7,dim_BMI!$A$2:$A$7,,1)</f>
        <v>6</v>
      </c>
      <c r="K1125" t="str">
        <f>_xlfn.XLOOKUP(C1125,dim_BMI!$C$2:$C$7,dim_BMI!$B$2:$B$7,,1)</f>
        <v>40 or higher (Severe Obesity Class 3)</v>
      </c>
    </row>
    <row r="1126" spans="1:11" x14ac:dyDescent="0.25">
      <c r="A1126" s="1">
        <v>88</v>
      </c>
      <c r="B1126">
        <v>56</v>
      </c>
      <c r="C1126">
        <v>27.2</v>
      </c>
      <c r="D1126">
        <v>0</v>
      </c>
      <c r="E1126">
        <f t="shared" si="17"/>
        <v>0</v>
      </c>
      <c r="F1126">
        <v>11073.175999999999</v>
      </c>
      <c r="G1126" t="s">
        <v>9</v>
      </c>
      <c r="H1126" t="s">
        <v>11</v>
      </c>
      <c r="I1126" t="s">
        <v>7</v>
      </c>
      <c r="J1126">
        <f>_xlfn.XLOOKUP(C1126,dim_BMI!$C$2:$C$7,dim_BMI!$A$2:$A$7,,1)</f>
        <v>3</v>
      </c>
      <c r="K1126" t="str">
        <f>_xlfn.XLOOKUP(C1126,dim_BMI!$C$2:$C$7,dim_BMI!$B$2:$B$7,,1)</f>
        <v>25.0 to 29.9 (Overweight)</v>
      </c>
    </row>
    <row r="1127" spans="1:11" x14ac:dyDescent="0.25">
      <c r="A1127" s="1">
        <v>99</v>
      </c>
      <c r="B1127">
        <v>56</v>
      </c>
      <c r="C1127">
        <v>19.95</v>
      </c>
      <c r="D1127">
        <v>0</v>
      </c>
      <c r="E1127">
        <f t="shared" si="17"/>
        <v>1</v>
      </c>
      <c r="F1127">
        <v>22412.648499999999</v>
      </c>
      <c r="G1127" t="s">
        <v>14</v>
      </c>
      <c r="H1127" t="s">
        <v>8</v>
      </c>
      <c r="I1127" t="s">
        <v>10</v>
      </c>
      <c r="J1127">
        <f>_xlfn.XLOOKUP(C1127,dim_BMI!$C$2:$C$7,dim_BMI!$A$2:$A$7,,1)</f>
        <v>2</v>
      </c>
      <c r="K1127" t="str">
        <f>_xlfn.XLOOKUP(C1127,dim_BMI!$C$2:$C$7,dim_BMI!$B$2:$B$7,,1)</f>
        <v>18.5 to 24.9 (Healthy Weight)</v>
      </c>
    </row>
    <row r="1128" spans="1:11" x14ac:dyDescent="0.25">
      <c r="A1128" s="1">
        <v>194</v>
      </c>
      <c r="B1128">
        <v>56</v>
      </c>
      <c r="C1128">
        <v>26.6</v>
      </c>
      <c r="D1128">
        <v>1</v>
      </c>
      <c r="E1128">
        <f t="shared" si="17"/>
        <v>0</v>
      </c>
      <c r="F1128">
        <v>12044.342000000001</v>
      </c>
      <c r="G1128" t="s">
        <v>13</v>
      </c>
      <c r="H1128" t="s">
        <v>11</v>
      </c>
      <c r="I1128" t="s">
        <v>7</v>
      </c>
      <c r="J1128">
        <f>_xlfn.XLOOKUP(C1128,dim_BMI!$C$2:$C$7,dim_BMI!$A$2:$A$7,,1)</f>
        <v>3</v>
      </c>
      <c r="K1128" t="str">
        <f>_xlfn.XLOOKUP(C1128,dim_BMI!$C$2:$C$7,dim_BMI!$B$2:$B$7,,1)</f>
        <v>25.0 to 29.9 (Overweight)</v>
      </c>
    </row>
    <row r="1129" spans="1:11" x14ac:dyDescent="0.25">
      <c r="A1129" s="1">
        <v>257</v>
      </c>
      <c r="B1129">
        <v>56</v>
      </c>
      <c r="C1129">
        <v>33.630000000000003</v>
      </c>
      <c r="D1129">
        <v>0</v>
      </c>
      <c r="E1129">
        <f t="shared" si="17"/>
        <v>1</v>
      </c>
      <c r="F1129">
        <v>43921.183700000001</v>
      </c>
      <c r="G1129" t="s">
        <v>13</v>
      </c>
      <c r="H1129" t="s">
        <v>8</v>
      </c>
      <c r="I1129" t="s">
        <v>10</v>
      </c>
      <c r="J1129">
        <f>_xlfn.XLOOKUP(C1129,dim_BMI!$C$2:$C$7,dim_BMI!$A$2:$A$7,,1)</f>
        <v>4</v>
      </c>
      <c r="K1129" t="str">
        <f>_xlfn.XLOOKUP(C1129,dim_BMI!$C$2:$C$7,dim_BMI!$B$2:$B$7,,1)</f>
        <v>30.0 to 34.9 (Obesity Class 1)</v>
      </c>
    </row>
    <row r="1130" spans="1:11" x14ac:dyDescent="0.25">
      <c r="A1130" s="1">
        <v>303</v>
      </c>
      <c r="B1130">
        <v>56</v>
      </c>
      <c r="C1130">
        <v>37.51</v>
      </c>
      <c r="D1130">
        <v>2</v>
      </c>
      <c r="E1130">
        <f t="shared" si="17"/>
        <v>0</v>
      </c>
      <c r="F1130">
        <v>12265.5069</v>
      </c>
      <c r="G1130" t="s">
        <v>12</v>
      </c>
      <c r="H1130" t="s">
        <v>11</v>
      </c>
      <c r="I1130" t="s">
        <v>7</v>
      </c>
      <c r="J1130">
        <f>_xlfn.XLOOKUP(C1130,dim_BMI!$C$2:$C$7,dim_BMI!$A$2:$A$7,,1)</f>
        <v>5</v>
      </c>
      <c r="K1130" t="str">
        <f>_xlfn.XLOOKUP(C1130,dim_BMI!$C$2:$C$7,dim_BMI!$B$2:$B$7,,1)</f>
        <v>35 to 39.9 (Obesity Class 2)</v>
      </c>
    </row>
    <row r="1131" spans="1:11" x14ac:dyDescent="0.25">
      <c r="A1131" s="1">
        <v>334</v>
      </c>
      <c r="B1131">
        <v>56</v>
      </c>
      <c r="C1131">
        <v>28.785</v>
      </c>
      <c r="D1131">
        <v>0</v>
      </c>
      <c r="E1131">
        <f t="shared" si="17"/>
        <v>0</v>
      </c>
      <c r="F1131">
        <v>11658.379150000001</v>
      </c>
      <c r="G1131" t="s">
        <v>14</v>
      </c>
      <c r="H1131" t="s">
        <v>11</v>
      </c>
      <c r="I1131" t="s">
        <v>7</v>
      </c>
      <c r="J1131">
        <f>_xlfn.XLOOKUP(C1131,dim_BMI!$C$2:$C$7,dim_BMI!$A$2:$A$7,,1)</f>
        <v>3</v>
      </c>
      <c r="K1131" t="str">
        <f>_xlfn.XLOOKUP(C1131,dim_BMI!$C$2:$C$7,dim_BMI!$B$2:$B$7,,1)</f>
        <v>25.0 to 29.9 (Overweight)</v>
      </c>
    </row>
    <row r="1132" spans="1:11" x14ac:dyDescent="0.25">
      <c r="A1132" s="1">
        <v>367</v>
      </c>
      <c r="B1132">
        <v>56</v>
      </c>
      <c r="C1132">
        <v>32.299999999999997</v>
      </c>
      <c r="D1132">
        <v>3</v>
      </c>
      <c r="E1132">
        <f t="shared" si="17"/>
        <v>0</v>
      </c>
      <c r="F1132">
        <v>13430.264999999999</v>
      </c>
      <c r="G1132" t="s">
        <v>14</v>
      </c>
      <c r="H1132" t="s">
        <v>11</v>
      </c>
      <c r="I1132" t="s">
        <v>7</v>
      </c>
      <c r="J1132">
        <f>_xlfn.XLOOKUP(C1132,dim_BMI!$C$2:$C$7,dim_BMI!$A$2:$A$7,,1)</f>
        <v>4</v>
      </c>
      <c r="K1132" t="str">
        <f>_xlfn.XLOOKUP(C1132,dim_BMI!$C$2:$C$7,dim_BMI!$B$2:$B$7,,1)</f>
        <v>30.0 to 34.9 (Obesity Class 1)</v>
      </c>
    </row>
    <row r="1133" spans="1:11" x14ac:dyDescent="0.25">
      <c r="A1133" s="1">
        <v>445</v>
      </c>
      <c r="B1133">
        <v>56</v>
      </c>
      <c r="C1133">
        <v>26.695</v>
      </c>
      <c r="D1133">
        <v>1</v>
      </c>
      <c r="E1133">
        <f t="shared" si="17"/>
        <v>1</v>
      </c>
      <c r="F1133">
        <v>26109.32905</v>
      </c>
      <c r="G1133" t="s">
        <v>13</v>
      </c>
      <c r="H1133" t="s">
        <v>8</v>
      </c>
      <c r="I1133" t="s">
        <v>10</v>
      </c>
      <c r="J1133">
        <f>_xlfn.XLOOKUP(C1133,dim_BMI!$C$2:$C$7,dim_BMI!$A$2:$A$7,,1)</f>
        <v>3</v>
      </c>
      <c r="K1133" t="str">
        <f>_xlfn.XLOOKUP(C1133,dim_BMI!$C$2:$C$7,dim_BMI!$B$2:$B$7,,1)</f>
        <v>25.0 to 29.9 (Overweight)</v>
      </c>
    </row>
    <row r="1134" spans="1:11" x14ac:dyDescent="0.25">
      <c r="A1134" s="1">
        <v>448</v>
      </c>
      <c r="B1134">
        <v>56</v>
      </c>
      <c r="C1134">
        <v>25.65</v>
      </c>
      <c r="D1134">
        <v>0</v>
      </c>
      <c r="E1134">
        <f t="shared" si="17"/>
        <v>0</v>
      </c>
      <c r="F1134">
        <v>11454.021500000001</v>
      </c>
      <c r="G1134" t="s">
        <v>13</v>
      </c>
      <c r="H1134" t="s">
        <v>11</v>
      </c>
      <c r="I1134" t="s">
        <v>7</v>
      </c>
      <c r="J1134">
        <f>_xlfn.XLOOKUP(C1134,dim_BMI!$C$2:$C$7,dim_BMI!$A$2:$A$7,,1)</f>
        <v>3</v>
      </c>
      <c r="K1134" t="str">
        <f>_xlfn.XLOOKUP(C1134,dim_BMI!$C$2:$C$7,dim_BMI!$B$2:$B$7,,1)</f>
        <v>25.0 to 29.9 (Overweight)</v>
      </c>
    </row>
    <row r="1135" spans="1:11" x14ac:dyDescent="0.25">
      <c r="A1135" s="1">
        <v>459</v>
      </c>
      <c r="B1135">
        <v>56</v>
      </c>
      <c r="C1135">
        <v>39.6</v>
      </c>
      <c r="D1135">
        <v>0</v>
      </c>
      <c r="E1135">
        <f t="shared" si="17"/>
        <v>0</v>
      </c>
      <c r="F1135">
        <v>10601.412</v>
      </c>
      <c r="G1135" t="s">
        <v>9</v>
      </c>
      <c r="H1135" t="s">
        <v>11</v>
      </c>
      <c r="I1135" t="s">
        <v>10</v>
      </c>
      <c r="J1135">
        <f>_xlfn.XLOOKUP(C1135,dim_BMI!$C$2:$C$7,dim_BMI!$A$2:$A$7,,1)</f>
        <v>5</v>
      </c>
      <c r="K1135" t="str">
        <f>_xlfn.XLOOKUP(C1135,dim_BMI!$C$2:$C$7,dim_BMI!$B$2:$B$7,,1)</f>
        <v>35 to 39.9 (Obesity Class 2)</v>
      </c>
    </row>
    <row r="1136" spans="1:11" x14ac:dyDescent="0.25">
      <c r="A1136" s="1">
        <v>464</v>
      </c>
      <c r="B1136">
        <v>56</v>
      </c>
      <c r="C1136">
        <v>25.934999999999999</v>
      </c>
      <c r="D1136">
        <v>0</v>
      </c>
      <c r="E1136">
        <f t="shared" si="17"/>
        <v>0</v>
      </c>
      <c r="F1136">
        <v>11165.417649999999</v>
      </c>
      <c r="G1136" t="s">
        <v>14</v>
      </c>
      <c r="H1136" t="s">
        <v>11</v>
      </c>
      <c r="I1136" t="s">
        <v>10</v>
      </c>
      <c r="J1136">
        <f>_xlfn.XLOOKUP(C1136,dim_BMI!$C$2:$C$7,dim_BMI!$A$2:$A$7,,1)</f>
        <v>3</v>
      </c>
      <c r="K1136" t="str">
        <f>_xlfn.XLOOKUP(C1136,dim_BMI!$C$2:$C$7,dim_BMI!$B$2:$B$7,,1)</f>
        <v>25.0 to 29.9 (Overweight)</v>
      </c>
    </row>
    <row r="1137" spans="1:11" x14ac:dyDescent="0.25">
      <c r="A1137" s="1">
        <v>468</v>
      </c>
      <c r="B1137">
        <v>56</v>
      </c>
      <c r="C1137">
        <v>33.82</v>
      </c>
      <c r="D1137">
        <v>2</v>
      </c>
      <c r="E1137">
        <f t="shared" si="17"/>
        <v>0</v>
      </c>
      <c r="F1137">
        <v>12643.3778</v>
      </c>
      <c r="G1137" t="s">
        <v>13</v>
      </c>
      <c r="H1137" t="s">
        <v>11</v>
      </c>
      <c r="I1137" t="s">
        <v>7</v>
      </c>
      <c r="J1137">
        <f>_xlfn.XLOOKUP(C1137,dim_BMI!$C$2:$C$7,dim_BMI!$A$2:$A$7,,1)</f>
        <v>4</v>
      </c>
      <c r="K1137" t="str">
        <f>_xlfn.XLOOKUP(C1137,dim_BMI!$C$2:$C$7,dim_BMI!$B$2:$B$7,,1)</f>
        <v>30.0 to 34.9 (Obesity Class 1)</v>
      </c>
    </row>
    <row r="1138" spans="1:11" x14ac:dyDescent="0.25">
      <c r="A1138" s="1">
        <v>511</v>
      </c>
      <c r="B1138">
        <v>56</v>
      </c>
      <c r="C1138">
        <v>32.11</v>
      </c>
      <c r="D1138">
        <v>1</v>
      </c>
      <c r="E1138">
        <f t="shared" si="17"/>
        <v>0</v>
      </c>
      <c r="F1138">
        <v>11763.000899999999</v>
      </c>
      <c r="G1138" t="s">
        <v>14</v>
      </c>
      <c r="H1138" t="s">
        <v>11</v>
      </c>
      <c r="I1138" t="s">
        <v>10</v>
      </c>
      <c r="J1138">
        <f>_xlfn.XLOOKUP(C1138,dim_BMI!$C$2:$C$7,dim_BMI!$A$2:$A$7,,1)</f>
        <v>4</v>
      </c>
      <c r="K1138" t="str">
        <f>_xlfn.XLOOKUP(C1138,dim_BMI!$C$2:$C$7,dim_BMI!$B$2:$B$7,,1)</f>
        <v>30.0 to 34.9 (Obesity Class 1)</v>
      </c>
    </row>
    <row r="1139" spans="1:11" x14ac:dyDescent="0.25">
      <c r="A1139" s="1">
        <v>603</v>
      </c>
      <c r="B1139">
        <v>56</v>
      </c>
      <c r="C1139">
        <v>25.3</v>
      </c>
      <c r="D1139">
        <v>0</v>
      </c>
      <c r="E1139">
        <f t="shared" si="17"/>
        <v>0</v>
      </c>
      <c r="F1139">
        <v>11070.535</v>
      </c>
      <c r="G1139" t="s">
        <v>9</v>
      </c>
      <c r="H1139" t="s">
        <v>11</v>
      </c>
      <c r="I1139" t="s">
        <v>7</v>
      </c>
      <c r="J1139">
        <f>_xlfn.XLOOKUP(C1139,dim_BMI!$C$2:$C$7,dim_BMI!$A$2:$A$7,,1)</f>
        <v>3</v>
      </c>
      <c r="K1139" t="str">
        <f>_xlfn.XLOOKUP(C1139,dim_BMI!$C$2:$C$7,dim_BMI!$B$2:$B$7,,1)</f>
        <v>25.0 to 29.9 (Overweight)</v>
      </c>
    </row>
    <row r="1140" spans="1:11" x14ac:dyDescent="0.25">
      <c r="A1140" s="1">
        <v>617</v>
      </c>
      <c r="B1140">
        <v>56</v>
      </c>
      <c r="C1140">
        <v>28.594999999999999</v>
      </c>
      <c r="D1140">
        <v>0</v>
      </c>
      <c r="E1140">
        <f t="shared" si="17"/>
        <v>0</v>
      </c>
      <c r="F1140">
        <v>11658.11505</v>
      </c>
      <c r="G1140" t="s">
        <v>14</v>
      </c>
      <c r="H1140" t="s">
        <v>11</v>
      </c>
      <c r="I1140" t="s">
        <v>7</v>
      </c>
      <c r="J1140">
        <f>_xlfn.XLOOKUP(C1140,dim_BMI!$C$2:$C$7,dim_BMI!$A$2:$A$7,,1)</f>
        <v>3</v>
      </c>
      <c r="K1140" t="str">
        <f>_xlfn.XLOOKUP(C1140,dim_BMI!$C$2:$C$7,dim_BMI!$B$2:$B$7,,1)</f>
        <v>25.0 to 29.9 (Overweight)</v>
      </c>
    </row>
    <row r="1141" spans="1:11" x14ac:dyDescent="0.25">
      <c r="A1141" s="1">
        <v>640</v>
      </c>
      <c r="B1141">
        <v>56</v>
      </c>
      <c r="C1141">
        <v>33.659999999999997</v>
      </c>
      <c r="D1141">
        <v>4</v>
      </c>
      <c r="E1141">
        <f t="shared" si="17"/>
        <v>0</v>
      </c>
      <c r="F1141">
        <v>12949.1554</v>
      </c>
      <c r="G1141" t="s">
        <v>12</v>
      </c>
      <c r="H1141" t="s">
        <v>11</v>
      </c>
      <c r="I1141" t="s">
        <v>10</v>
      </c>
      <c r="J1141">
        <f>_xlfn.XLOOKUP(C1141,dim_BMI!$C$2:$C$7,dim_BMI!$A$2:$A$7,,1)</f>
        <v>4</v>
      </c>
      <c r="K1141" t="str">
        <f>_xlfn.XLOOKUP(C1141,dim_BMI!$C$2:$C$7,dim_BMI!$B$2:$B$7,,1)</f>
        <v>30.0 to 34.9 (Obesity Class 1)</v>
      </c>
    </row>
    <row r="1142" spans="1:11" x14ac:dyDescent="0.25">
      <c r="A1142" s="1">
        <v>679</v>
      </c>
      <c r="B1142">
        <v>56</v>
      </c>
      <c r="C1142">
        <v>36.1</v>
      </c>
      <c r="D1142">
        <v>3</v>
      </c>
      <c r="E1142">
        <f t="shared" si="17"/>
        <v>0</v>
      </c>
      <c r="F1142">
        <v>12363.547</v>
      </c>
      <c r="G1142" t="s">
        <v>9</v>
      </c>
      <c r="H1142" t="s">
        <v>11</v>
      </c>
      <c r="I1142" t="s">
        <v>10</v>
      </c>
      <c r="J1142">
        <f>_xlfn.XLOOKUP(C1142,dim_BMI!$C$2:$C$7,dim_BMI!$A$2:$A$7,,1)</f>
        <v>5</v>
      </c>
      <c r="K1142" t="str">
        <f>_xlfn.XLOOKUP(C1142,dim_BMI!$C$2:$C$7,dim_BMI!$B$2:$B$7,,1)</f>
        <v>35 to 39.9 (Obesity Class 2)</v>
      </c>
    </row>
    <row r="1143" spans="1:11" x14ac:dyDescent="0.25">
      <c r="A1143" s="1">
        <v>699</v>
      </c>
      <c r="B1143">
        <v>56</v>
      </c>
      <c r="C1143">
        <v>33.725000000000001</v>
      </c>
      <c r="D1143">
        <v>0</v>
      </c>
      <c r="E1143">
        <f t="shared" si="17"/>
        <v>0</v>
      </c>
      <c r="F1143">
        <v>10976.24575</v>
      </c>
      <c r="G1143" t="s">
        <v>13</v>
      </c>
      <c r="H1143" t="s">
        <v>11</v>
      </c>
      <c r="I1143" t="s">
        <v>10</v>
      </c>
      <c r="J1143">
        <f>_xlfn.XLOOKUP(C1143,dim_BMI!$C$2:$C$7,dim_BMI!$A$2:$A$7,,1)</f>
        <v>4</v>
      </c>
      <c r="K1143" t="str">
        <f>_xlfn.XLOOKUP(C1143,dim_BMI!$C$2:$C$7,dim_BMI!$B$2:$B$7,,1)</f>
        <v>30.0 to 34.9 (Obesity Class 1)</v>
      </c>
    </row>
    <row r="1144" spans="1:11" x14ac:dyDescent="0.25">
      <c r="A1144" s="1">
        <v>827</v>
      </c>
      <c r="B1144">
        <v>56</v>
      </c>
      <c r="C1144">
        <v>31.79</v>
      </c>
      <c r="D1144">
        <v>2</v>
      </c>
      <c r="E1144">
        <f t="shared" si="17"/>
        <v>1</v>
      </c>
      <c r="F1144">
        <v>43813.866099999999</v>
      </c>
      <c r="G1144" t="s">
        <v>12</v>
      </c>
      <c r="H1144" t="s">
        <v>8</v>
      </c>
      <c r="I1144" t="s">
        <v>10</v>
      </c>
      <c r="J1144">
        <f>_xlfn.XLOOKUP(C1144,dim_BMI!$C$2:$C$7,dim_BMI!$A$2:$A$7,,1)</f>
        <v>4</v>
      </c>
      <c r="K1144" t="str">
        <f>_xlfn.XLOOKUP(C1144,dim_BMI!$C$2:$C$7,dim_BMI!$B$2:$B$7,,1)</f>
        <v>30.0 to 34.9 (Obesity Class 1)</v>
      </c>
    </row>
    <row r="1145" spans="1:11" x14ac:dyDescent="0.25">
      <c r="A1145" s="1">
        <v>838</v>
      </c>
      <c r="B1145">
        <v>56</v>
      </c>
      <c r="C1145">
        <v>28.31</v>
      </c>
      <c r="D1145">
        <v>0</v>
      </c>
      <c r="E1145">
        <f t="shared" si="17"/>
        <v>0</v>
      </c>
      <c r="F1145">
        <v>11657.7189</v>
      </c>
      <c r="G1145" t="s">
        <v>14</v>
      </c>
      <c r="H1145" t="s">
        <v>11</v>
      </c>
      <c r="I1145" t="s">
        <v>7</v>
      </c>
      <c r="J1145">
        <f>_xlfn.XLOOKUP(C1145,dim_BMI!$C$2:$C$7,dim_BMI!$A$2:$A$7,,1)</f>
        <v>3</v>
      </c>
      <c r="K1145" t="str">
        <f>_xlfn.XLOOKUP(C1145,dim_BMI!$C$2:$C$7,dim_BMI!$B$2:$B$7,,1)</f>
        <v>25.0 to 29.9 (Overweight)</v>
      </c>
    </row>
    <row r="1146" spans="1:11" x14ac:dyDescent="0.25">
      <c r="A1146" s="1">
        <v>946</v>
      </c>
      <c r="B1146">
        <v>56</v>
      </c>
      <c r="C1146">
        <v>35.799999999999997</v>
      </c>
      <c r="D1146">
        <v>1</v>
      </c>
      <c r="E1146">
        <f t="shared" si="17"/>
        <v>0</v>
      </c>
      <c r="F1146">
        <v>11674.13</v>
      </c>
      <c r="G1146" t="s">
        <v>9</v>
      </c>
      <c r="H1146" t="s">
        <v>11</v>
      </c>
      <c r="I1146" t="s">
        <v>7</v>
      </c>
      <c r="J1146">
        <f>_xlfn.XLOOKUP(C1146,dim_BMI!$C$2:$C$7,dim_BMI!$A$2:$A$7,,1)</f>
        <v>5</v>
      </c>
      <c r="K1146" t="str">
        <f>_xlfn.XLOOKUP(C1146,dim_BMI!$C$2:$C$7,dim_BMI!$B$2:$B$7,,1)</f>
        <v>35 to 39.9 (Obesity Class 2)</v>
      </c>
    </row>
    <row r="1147" spans="1:11" x14ac:dyDescent="0.25">
      <c r="A1147" s="1">
        <v>1090</v>
      </c>
      <c r="B1147">
        <v>56</v>
      </c>
      <c r="C1147">
        <v>22.1</v>
      </c>
      <c r="D1147">
        <v>0</v>
      </c>
      <c r="E1147">
        <f t="shared" si="17"/>
        <v>0</v>
      </c>
      <c r="F1147">
        <v>10577.087</v>
      </c>
      <c r="G1147" t="s">
        <v>9</v>
      </c>
      <c r="H1147" t="s">
        <v>11</v>
      </c>
      <c r="I1147" t="s">
        <v>10</v>
      </c>
      <c r="J1147">
        <f>_xlfn.XLOOKUP(C1147,dim_BMI!$C$2:$C$7,dim_BMI!$A$2:$A$7,,1)</f>
        <v>2</v>
      </c>
      <c r="K1147" t="str">
        <f>_xlfn.XLOOKUP(C1147,dim_BMI!$C$2:$C$7,dim_BMI!$B$2:$B$7,,1)</f>
        <v>18.5 to 24.9 (Healthy Weight)</v>
      </c>
    </row>
    <row r="1148" spans="1:11" x14ac:dyDescent="0.25">
      <c r="A1148" s="1">
        <v>1173</v>
      </c>
      <c r="B1148">
        <v>56</v>
      </c>
      <c r="C1148">
        <v>41.91</v>
      </c>
      <c r="D1148">
        <v>0</v>
      </c>
      <c r="E1148">
        <f t="shared" si="17"/>
        <v>0</v>
      </c>
      <c r="F1148">
        <v>11093.6229</v>
      </c>
      <c r="G1148" t="s">
        <v>12</v>
      </c>
      <c r="H1148" t="s">
        <v>11</v>
      </c>
      <c r="I1148" t="s">
        <v>7</v>
      </c>
      <c r="J1148">
        <f>_xlfn.XLOOKUP(C1148,dim_BMI!$C$2:$C$7,dim_BMI!$A$2:$A$7,,1)</f>
        <v>6</v>
      </c>
      <c r="K1148" t="str">
        <f>_xlfn.XLOOKUP(C1148,dim_BMI!$C$2:$C$7,dim_BMI!$B$2:$B$7,,1)</f>
        <v>40 or higher (Severe Obesity Class 3)</v>
      </c>
    </row>
    <row r="1149" spans="1:11" x14ac:dyDescent="0.25">
      <c r="A1149" s="1">
        <v>1229</v>
      </c>
      <c r="B1149">
        <v>56</v>
      </c>
      <c r="C1149">
        <v>34.43</v>
      </c>
      <c r="D1149">
        <v>0</v>
      </c>
      <c r="E1149">
        <f t="shared" si="17"/>
        <v>0</v>
      </c>
      <c r="F1149">
        <v>10594.225700000001</v>
      </c>
      <c r="G1149" t="s">
        <v>12</v>
      </c>
      <c r="H1149" t="s">
        <v>11</v>
      </c>
      <c r="I1149" t="s">
        <v>10</v>
      </c>
      <c r="J1149">
        <f>_xlfn.XLOOKUP(C1149,dim_BMI!$C$2:$C$7,dim_BMI!$A$2:$A$7,,1)</f>
        <v>4</v>
      </c>
      <c r="K1149" t="str">
        <f>_xlfn.XLOOKUP(C1149,dim_BMI!$C$2:$C$7,dim_BMI!$B$2:$B$7,,1)</f>
        <v>30.0 to 34.9 (Obesity Class 1)</v>
      </c>
    </row>
    <row r="1150" spans="1:11" x14ac:dyDescent="0.25">
      <c r="A1150" s="1">
        <v>76</v>
      </c>
      <c r="B1150">
        <v>57</v>
      </c>
      <c r="C1150">
        <v>34.01</v>
      </c>
      <c r="D1150">
        <v>0</v>
      </c>
      <c r="E1150">
        <f t="shared" si="17"/>
        <v>0</v>
      </c>
      <c r="F1150">
        <v>11356.660900000001</v>
      </c>
      <c r="G1150" t="s">
        <v>13</v>
      </c>
      <c r="H1150" t="s">
        <v>11</v>
      </c>
      <c r="I1150" t="s">
        <v>10</v>
      </c>
      <c r="J1150">
        <f>_xlfn.XLOOKUP(C1150,dim_BMI!$C$2:$C$7,dim_BMI!$A$2:$A$7,,1)</f>
        <v>4</v>
      </c>
      <c r="K1150" t="str">
        <f>_xlfn.XLOOKUP(C1150,dim_BMI!$C$2:$C$7,dim_BMI!$B$2:$B$7,,1)</f>
        <v>30.0 to 34.9 (Obesity Class 1)</v>
      </c>
    </row>
    <row r="1151" spans="1:11" x14ac:dyDescent="0.25">
      <c r="A1151" s="1">
        <v>87</v>
      </c>
      <c r="B1151">
        <v>57</v>
      </c>
      <c r="C1151">
        <v>31.16</v>
      </c>
      <c r="D1151">
        <v>0</v>
      </c>
      <c r="E1151">
        <f t="shared" si="17"/>
        <v>1</v>
      </c>
      <c r="F1151">
        <v>43578.939400000003</v>
      </c>
      <c r="G1151" t="s">
        <v>13</v>
      </c>
      <c r="H1151" t="s">
        <v>8</v>
      </c>
      <c r="I1151" t="s">
        <v>7</v>
      </c>
      <c r="J1151">
        <f>_xlfn.XLOOKUP(C1151,dim_BMI!$C$2:$C$7,dim_BMI!$A$2:$A$7,,1)</f>
        <v>4</v>
      </c>
      <c r="K1151" t="str">
        <f>_xlfn.XLOOKUP(C1151,dim_BMI!$C$2:$C$7,dim_BMI!$B$2:$B$7,,1)</f>
        <v>30.0 to 34.9 (Obesity Class 1)</v>
      </c>
    </row>
    <row r="1152" spans="1:11" x14ac:dyDescent="0.25">
      <c r="A1152" s="1">
        <v>305</v>
      </c>
      <c r="B1152">
        <v>57</v>
      </c>
      <c r="C1152">
        <v>38</v>
      </c>
      <c r="D1152">
        <v>2</v>
      </c>
      <c r="E1152">
        <f t="shared" si="17"/>
        <v>0</v>
      </c>
      <c r="F1152">
        <v>12646.207</v>
      </c>
      <c r="G1152" t="s">
        <v>9</v>
      </c>
      <c r="H1152" t="s">
        <v>11</v>
      </c>
      <c r="I1152" t="s">
        <v>7</v>
      </c>
      <c r="J1152">
        <f>_xlfn.XLOOKUP(C1152,dim_BMI!$C$2:$C$7,dim_BMI!$A$2:$A$7,,1)</f>
        <v>5</v>
      </c>
      <c r="K1152" t="str">
        <f>_xlfn.XLOOKUP(C1152,dim_BMI!$C$2:$C$7,dim_BMI!$B$2:$B$7,,1)</f>
        <v>35 to 39.9 (Obesity Class 2)</v>
      </c>
    </row>
    <row r="1153" spans="1:11" x14ac:dyDescent="0.25">
      <c r="A1153" s="1">
        <v>324</v>
      </c>
      <c r="B1153">
        <v>57</v>
      </c>
      <c r="C1153">
        <v>40.945</v>
      </c>
      <c r="D1153">
        <v>0</v>
      </c>
      <c r="E1153">
        <f t="shared" si="17"/>
        <v>0</v>
      </c>
      <c r="F1153">
        <v>11566.30055</v>
      </c>
      <c r="G1153" t="s">
        <v>14</v>
      </c>
      <c r="H1153" t="s">
        <v>11</v>
      </c>
      <c r="I1153" t="s">
        <v>10</v>
      </c>
      <c r="J1153">
        <f>_xlfn.XLOOKUP(C1153,dim_BMI!$C$2:$C$7,dim_BMI!$A$2:$A$7,,1)</f>
        <v>6</v>
      </c>
      <c r="K1153" t="str">
        <f>_xlfn.XLOOKUP(C1153,dim_BMI!$C$2:$C$7,dim_BMI!$B$2:$B$7,,1)</f>
        <v>40 or higher (Severe Obesity Class 3)</v>
      </c>
    </row>
    <row r="1154" spans="1:11" x14ac:dyDescent="0.25">
      <c r="A1154" s="1">
        <v>351</v>
      </c>
      <c r="B1154">
        <v>57</v>
      </c>
      <c r="C1154">
        <v>23.18</v>
      </c>
      <c r="D1154">
        <v>0</v>
      </c>
      <c r="E1154">
        <f t="shared" si="17"/>
        <v>0</v>
      </c>
      <c r="F1154">
        <v>11830.6072</v>
      </c>
      <c r="G1154" t="s">
        <v>13</v>
      </c>
      <c r="H1154" t="s">
        <v>11</v>
      </c>
      <c r="I1154" t="s">
        <v>7</v>
      </c>
      <c r="J1154">
        <f>_xlfn.XLOOKUP(C1154,dim_BMI!$C$2:$C$7,dim_BMI!$A$2:$A$7,,1)</f>
        <v>2</v>
      </c>
      <c r="K1154" t="str">
        <f>_xlfn.XLOOKUP(C1154,dim_BMI!$C$2:$C$7,dim_BMI!$B$2:$B$7,,1)</f>
        <v>18.5 to 24.9 (Healthy Weight)</v>
      </c>
    </row>
    <row r="1155" spans="1:11" x14ac:dyDescent="0.25">
      <c r="A1155" s="1">
        <v>372</v>
      </c>
      <c r="B1155">
        <v>57</v>
      </c>
      <c r="C1155">
        <v>22.23</v>
      </c>
      <c r="D1155">
        <v>0</v>
      </c>
      <c r="E1155">
        <f t="shared" ref="E1155:E1218" si="18">IF(H1155="yes",1,0)</f>
        <v>0</v>
      </c>
      <c r="F1155">
        <v>12029.286700000001</v>
      </c>
      <c r="G1155" t="s">
        <v>14</v>
      </c>
      <c r="H1155" t="s">
        <v>11</v>
      </c>
      <c r="I1155" t="s">
        <v>7</v>
      </c>
      <c r="J1155">
        <f>_xlfn.XLOOKUP(C1155,dim_BMI!$C$2:$C$7,dim_BMI!$A$2:$A$7,,1)</f>
        <v>2</v>
      </c>
      <c r="K1155" t="str">
        <f>_xlfn.XLOOKUP(C1155,dim_BMI!$C$2:$C$7,dim_BMI!$B$2:$B$7,,1)</f>
        <v>18.5 to 24.9 (Healthy Weight)</v>
      </c>
    </row>
    <row r="1156" spans="1:11" x14ac:dyDescent="0.25">
      <c r="A1156" s="1">
        <v>458</v>
      </c>
      <c r="B1156">
        <v>57</v>
      </c>
      <c r="C1156">
        <v>30.495000000000001</v>
      </c>
      <c r="D1156">
        <v>0</v>
      </c>
      <c r="E1156">
        <f t="shared" si="18"/>
        <v>0</v>
      </c>
      <c r="F1156">
        <v>11840.77505</v>
      </c>
      <c r="G1156" t="s">
        <v>13</v>
      </c>
      <c r="H1156" t="s">
        <v>11</v>
      </c>
      <c r="I1156" t="s">
        <v>7</v>
      </c>
      <c r="J1156">
        <f>_xlfn.XLOOKUP(C1156,dim_BMI!$C$2:$C$7,dim_BMI!$A$2:$A$7,,1)</f>
        <v>4</v>
      </c>
      <c r="K1156" t="str">
        <f>_xlfn.XLOOKUP(C1156,dim_BMI!$C$2:$C$7,dim_BMI!$B$2:$B$7,,1)</f>
        <v>30.0 to 34.9 (Obesity Class 1)</v>
      </c>
    </row>
    <row r="1157" spans="1:11" x14ac:dyDescent="0.25">
      <c r="A1157" s="1">
        <v>510</v>
      </c>
      <c r="B1157">
        <v>57</v>
      </c>
      <c r="C1157">
        <v>28.7</v>
      </c>
      <c r="D1157">
        <v>0</v>
      </c>
      <c r="E1157">
        <f t="shared" si="18"/>
        <v>0</v>
      </c>
      <c r="F1157">
        <v>11455.28</v>
      </c>
      <c r="G1157" t="s">
        <v>9</v>
      </c>
      <c r="H1157" t="s">
        <v>11</v>
      </c>
      <c r="I1157" t="s">
        <v>7</v>
      </c>
      <c r="J1157">
        <f>_xlfn.XLOOKUP(C1157,dim_BMI!$C$2:$C$7,dim_BMI!$A$2:$A$7,,1)</f>
        <v>3</v>
      </c>
      <c r="K1157" t="str">
        <f>_xlfn.XLOOKUP(C1157,dim_BMI!$C$2:$C$7,dim_BMI!$B$2:$B$7,,1)</f>
        <v>25.0 to 29.9 (Overweight)</v>
      </c>
    </row>
    <row r="1158" spans="1:11" x14ac:dyDescent="0.25">
      <c r="A1158" s="1">
        <v>531</v>
      </c>
      <c r="B1158">
        <v>57</v>
      </c>
      <c r="C1158">
        <v>42.13</v>
      </c>
      <c r="D1158">
        <v>1</v>
      </c>
      <c r="E1158">
        <f t="shared" si="18"/>
        <v>1</v>
      </c>
      <c r="F1158">
        <v>48675.517699999997</v>
      </c>
      <c r="G1158" t="s">
        <v>12</v>
      </c>
      <c r="H1158" t="s">
        <v>8</v>
      </c>
      <c r="I1158" t="s">
        <v>10</v>
      </c>
      <c r="J1158">
        <f>_xlfn.XLOOKUP(C1158,dim_BMI!$C$2:$C$7,dim_BMI!$A$2:$A$7,,1)</f>
        <v>6</v>
      </c>
      <c r="K1158" t="str">
        <f>_xlfn.XLOOKUP(C1158,dim_BMI!$C$2:$C$7,dim_BMI!$B$2:$B$7,,1)</f>
        <v>40 or higher (Severe Obesity Class 3)</v>
      </c>
    </row>
    <row r="1159" spans="1:11" x14ac:dyDescent="0.25">
      <c r="A1159" s="1">
        <v>575</v>
      </c>
      <c r="B1159">
        <v>57</v>
      </c>
      <c r="C1159">
        <v>34.295000000000002</v>
      </c>
      <c r="D1159">
        <v>2</v>
      </c>
      <c r="E1159">
        <f t="shared" si="18"/>
        <v>0</v>
      </c>
      <c r="F1159">
        <v>13224.057049999999</v>
      </c>
      <c r="G1159" t="s">
        <v>14</v>
      </c>
      <c r="H1159" t="s">
        <v>11</v>
      </c>
      <c r="I1159" t="s">
        <v>7</v>
      </c>
      <c r="J1159">
        <f>_xlfn.XLOOKUP(C1159,dim_BMI!$C$2:$C$7,dim_BMI!$A$2:$A$7,,1)</f>
        <v>4</v>
      </c>
      <c r="K1159" t="str">
        <f>_xlfn.XLOOKUP(C1159,dim_BMI!$C$2:$C$7,dim_BMI!$B$2:$B$7,,1)</f>
        <v>30.0 to 34.9 (Obesity Class 1)</v>
      </c>
    </row>
    <row r="1160" spans="1:11" x14ac:dyDescent="0.25">
      <c r="A1160" s="1">
        <v>660</v>
      </c>
      <c r="B1160">
        <v>57</v>
      </c>
      <c r="C1160">
        <v>28.785</v>
      </c>
      <c r="D1160">
        <v>4</v>
      </c>
      <c r="E1160">
        <f t="shared" si="18"/>
        <v>0</v>
      </c>
      <c r="F1160">
        <v>14394.398150000001</v>
      </c>
      <c r="G1160" t="s">
        <v>14</v>
      </c>
      <c r="H1160" t="s">
        <v>11</v>
      </c>
      <c r="I1160" t="s">
        <v>7</v>
      </c>
      <c r="J1160">
        <f>_xlfn.XLOOKUP(C1160,dim_BMI!$C$2:$C$7,dim_BMI!$A$2:$A$7,,1)</f>
        <v>3</v>
      </c>
      <c r="K1160" t="str">
        <f>_xlfn.XLOOKUP(C1160,dim_BMI!$C$2:$C$7,dim_BMI!$B$2:$B$7,,1)</f>
        <v>25.0 to 29.9 (Overweight)</v>
      </c>
    </row>
    <row r="1161" spans="1:11" x14ac:dyDescent="0.25">
      <c r="A1161" s="1">
        <v>662</v>
      </c>
      <c r="B1161">
        <v>57</v>
      </c>
      <c r="C1161">
        <v>23.98</v>
      </c>
      <c r="D1161">
        <v>1</v>
      </c>
      <c r="E1161">
        <f t="shared" si="18"/>
        <v>0</v>
      </c>
      <c r="F1161">
        <v>22192.437109999999</v>
      </c>
      <c r="G1161" t="s">
        <v>12</v>
      </c>
      <c r="H1161" t="s">
        <v>11</v>
      </c>
      <c r="I1161" t="s">
        <v>7</v>
      </c>
      <c r="J1161">
        <f>_xlfn.XLOOKUP(C1161,dim_BMI!$C$2:$C$7,dim_BMI!$A$2:$A$7,,1)</f>
        <v>2</v>
      </c>
      <c r="K1161" t="str">
        <f>_xlfn.XLOOKUP(C1161,dim_BMI!$C$2:$C$7,dim_BMI!$B$2:$B$7,,1)</f>
        <v>18.5 to 24.9 (Healthy Weight)</v>
      </c>
    </row>
    <row r="1162" spans="1:11" x14ac:dyDescent="0.25">
      <c r="A1162" s="1">
        <v>766</v>
      </c>
      <c r="B1162">
        <v>57</v>
      </c>
      <c r="C1162">
        <v>31.824999999999999</v>
      </c>
      <c r="D1162">
        <v>0</v>
      </c>
      <c r="E1162">
        <f t="shared" si="18"/>
        <v>0</v>
      </c>
      <c r="F1162">
        <v>11842.623750000001</v>
      </c>
      <c r="G1162" t="s">
        <v>13</v>
      </c>
      <c r="H1162" t="s">
        <v>11</v>
      </c>
      <c r="I1162" t="s">
        <v>7</v>
      </c>
      <c r="J1162">
        <f>_xlfn.XLOOKUP(C1162,dim_BMI!$C$2:$C$7,dim_BMI!$A$2:$A$7,,1)</f>
        <v>4</v>
      </c>
      <c r="K1162" t="str">
        <f>_xlfn.XLOOKUP(C1162,dim_BMI!$C$2:$C$7,dim_BMI!$B$2:$B$7,,1)</f>
        <v>30.0 to 34.9 (Obesity Class 1)</v>
      </c>
    </row>
    <row r="1163" spans="1:11" x14ac:dyDescent="0.25">
      <c r="A1163" s="1">
        <v>844</v>
      </c>
      <c r="B1163">
        <v>57</v>
      </c>
      <c r="C1163">
        <v>29.81</v>
      </c>
      <c r="D1163">
        <v>0</v>
      </c>
      <c r="E1163">
        <f t="shared" si="18"/>
        <v>1</v>
      </c>
      <c r="F1163">
        <v>27533.912899999999</v>
      </c>
      <c r="G1163" t="s">
        <v>12</v>
      </c>
      <c r="H1163" t="s">
        <v>8</v>
      </c>
      <c r="I1163" t="s">
        <v>7</v>
      </c>
      <c r="J1163">
        <f>_xlfn.XLOOKUP(C1163,dim_BMI!$C$2:$C$7,dim_BMI!$A$2:$A$7,,1)</f>
        <v>3</v>
      </c>
      <c r="K1163" t="str">
        <f>_xlfn.XLOOKUP(C1163,dim_BMI!$C$2:$C$7,dim_BMI!$B$2:$B$7,,1)</f>
        <v>25.0 to 29.9 (Overweight)</v>
      </c>
    </row>
    <row r="1164" spans="1:11" x14ac:dyDescent="0.25">
      <c r="A1164" s="1">
        <v>860</v>
      </c>
      <c r="B1164">
        <v>57</v>
      </c>
      <c r="C1164">
        <v>28.1</v>
      </c>
      <c r="D1164">
        <v>0</v>
      </c>
      <c r="E1164">
        <f t="shared" si="18"/>
        <v>0</v>
      </c>
      <c r="F1164">
        <v>10965.446</v>
      </c>
      <c r="G1164" t="s">
        <v>9</v>
      </c>
      <c r="H1164" t="s">
        <v>11</v>
      </c>
      <c r="I1164" t="s">
        <v>10</v>
      </c>
      <c r="J1164">
        <f>_xlfn.XLOOKUP(C1164,dim_BMI!$C$2:$C$7,dim_BMI!$A$2:$A$7,,1)</f>
        <v>3</v>
      </c>
      <c r="K1164" t="str">
        <f>_xlfn.XLOOKUP(C1164,dim_BMI!$C$2:$C$7,dim_BMI!$B$2:$B$7,,1)</f>
        <v>25.0 to 29.9 (Overweight)</v>
      </c>
    </row>
    <row r="1165" spans="1:11" x14ac:dyDescent="0.25">
      <c r="A1165" s="1">
        <v>868</v>
      </c>
      <c r="B1165">
        <v>57</v>
      </c>
      <c r="C1165">
        <v>43.7</v>
      </c>
      <c r="D1165">
        <v>1</v>
      </c>
      <c r="E1165">
        <f t="shared" si="18"/>
        <v>0</v>
      </c>
      <c r="F1165">
        <v>11576.13</v>
      </c>
      <c r="G1165" t="s">
        <v>9</v>
      </c>
      <c r="H1165" t="s">
        <v>11</v>
      </c>
      <c r="I1165" t="s">
        <v>10</v>
      </c>
      <c r="J1165">
        <f>_xlfn.XLOOKUP(C1165,dim_BMI!$C$2:$C$7,dim_BMI!$A$2:$A$7,,1)</f>
        <v>6</v>
      </c>
      <c r="K1165" t="str">
        <f>_xlfn.XLOOKUP(C1165,dim_BMI!$C$2:$C$7,dim_BMI!$B$2:$B$7,,1)</f>
        <v>40 or higher (Severe Obesity Class 3)</v>
      </c>
    </row>
    <row r="1166" spans="1:11" x14ac:dyDescent="0.25">
      <c r="A1166" s="1">
        <v>887</v>
      </c>
      <c r="B1166">
        <v>57</v>
      </c>
      <c r="C1166">
        <v>28.975000000000001</v>
      </c>
      <c r="D1166">
        <v>0</v>
      </c>
      <c r="E1166">
        <f t="shared" si="18"/>
        <v>1</v>
      </c>
      <c r="F1166">
        <v>27218.437249999999</v>
      </c>
      <c r="G1166" t="s">
        <v>14</v>
      </c>
      <c r="H1166" t="s">
        <v>8</v>
      </c>
      <c r="I1166" t="s">
        <v>10</v>
      </c>
      <c r="J1166">
        <f>_xlfn.XLOOKUP(C1166,dim_BMI!$C$2:$C$7,dim_BMI!$A$2:$A$7,,1)</f>
        <v>3</v>
      </c>
      <c r="K1166" t="str">
        <f>_xlfn.XLOOKUP(C1166,dim_BMI!$C$2:$C$7,dim_BMI!$B$2:$B$7,,1)</f>
        <v>25.0 to 29.9 (Overweight)</v>
      </c>
    </row>
    <row r="1167" spans="1:11" x14ac:dyDescent="0.25">
      <c r="A1167" s="1">
        <v>890</v>
      </c>
      <c r="B1167">
        <v>57</v>
      </c>
      <c r="C1167">
        <v>33.630000000000003</v>
      </c>
      <c r="D1167">
        <v>1</v>
      </c>
      <c r="E1167">
        <f t="shared" si="18"/>
        <v>0</v>
      </c>
      <c r="F1167">
        <v>11945.1327</v>
      </c>
      <c r="G1167" t="s">
        <v>13</v>
      </c>
      <c r="H1167" t="s">
        <v>11</v>
      </c>
      <c r="I1167" t="s">
        <v>10</v>
      </c>
      <c r="J1167">
        <f>_xlfn.XLOOKUP(C1167,dim_BMI!$C$2:$C$7,dim_BMI!$A$2:$A$7,,1)</f>
        <v>4</v>
      </c>
      <c r="K1167" t="str">
        <f>_xlfn.XLOOKUP(C1167,dim_BMI!$C$2:$C$7,dim_BMI!$B$2:$B$7,,1)</f>
        <v>30.0 to 34.9 (Obesity Class 1)</v>
      </c>
    </row>
    <row r="1168" spans="1:11" x14ac:dyDescent="0.25">
      <c r="A1168" s="1">
        <v>928</v>
      </c>
      <c r="B1168">
        <v>57</v>
      </c>
      <c r="C1168">
        <v>20.100000000000001</v>
      </c>
      <c r="D1168">
        <v>1</v>
      </c>
      <c r="E1168">
        <f t="shared" si="18"/>
        <v>0</v>
      </c>
      <c r="F1168">
        <v>12032.325999999999</v>
      </c>
      <c r="G1168" t="s">
        <v>9</v>
      </c>
      <c r="H1168" t="s">
        <v>11</v>
      </c>
      <c r="I1168" t="s">
        <v>7</v>
      </c>
      <c r="J1168">
        <f>_xlfn.XLOOKUP(C1168,dim_BMI!$C$2:$C$7,dim_BMI!$A$2:$A$7,,1)</f>
        <v>2</v>
      </c>
      <c r="K1168" t="str">
        <f>_xlfn.XLOOKUP(C1168,dim_BMI!$C$2:$C$7,dim_BMI!$B$2:$B$7,,1)</f>
        <v>18.5 to 24.9 (Healthy Weight)</v>
      </c>
    </row>
    <row r="1169" spans="1:11" x14ac:dyDescent="0.25">
      <c r="A1169" s="1">
        <v>951</v>
      </c>
      <c r="B1169">
        <v>57</v>
      </c>
      <c r="C1169">
        <v>18.335000000000001</v>
      </c>
      <c r="D1169">
        <v>0</v>
      </c>
      <c r="E1169">
        <f t="shared" si="18"/>
        <v>0</v>
      </c>
      <c r="F1169">
        <v>11534.872649999999</v>
      </c>
      <c r="G1169" t="s">
        <v>14</v>
      </c>
      <c r="H1169" t="s">
        <v>11</v>
      </c>
      <c r="I1169" t="s">
        <v>10</v>
      </c>
      <c r="J1169">
        <f>_xlfn.XLOOKUP(C1169,dim_BMI!$C$2:$C$7,dim_BMI!$A$2:$A$7,,1)</f>
        <v>1</v>
      </c>
      <c r="K1169" t="str">
        <f>_xlfn.XLOOKUP(C1169,dim_BMI!$C$2:$C$7,dim_BMI!$B$2:$B$7,,1)</f>
        <v>18.49 or less (Underweight)</v>
      </c>
    </row>
    <row r="1170" spans="1:11" x14ac:dyDescent="0.25">
      <c r="A1170" s="1">
        <v>1062</v>
      </c>
      <c r="B1170">
        <v>57</v>
      </c>
      <c r="C1170">
        <v>27.94</v>
      </c>
      <c r="D1170">
        <v>1</v>
      </c>
      <c r="E1170">
        <f t="shared" si="18"/>
        <v>0</v>
      </c>
      <c r="F1170">
        <v>11554.223599999999</v>
      </c>
      <c r="G1170" t="s">
        <v>12</v>
      </c>
      <c r="H1170" t="s">
        <v>11</v>
      </c>
      <c r="I1170" t="s">
        <v>10</v>
      </c>
      <c r="J1170">
        <f>_xlfn.XLOOKUP(C1170,dim_BMI!$C$2:$C$7,dim_BMI!$A$2:$A$7,,1)</f>
        <v>3</v>
      </c>
      <c r="K1170" t="str">
        <f>_xlfn.XLOOKUP(C1170,dim_BMI!$C$2:$C$7,dim_BMI!$B$2:$B$7,,1)</f>
        <v>25.0 to 29.9 (Overweight)</v>
      </c>
    </row>
    <row r="1171" spans="1:11" x14ac:dyDescent="0.25">
      <c r="A1171" s="1">
        <v>1088</v>
      </c>
      <c r="B1171">
        <v>57</v>
      </c>
      <c r="C1171">
        <v>31.54</v>
      </c>
      <c r="D1171">
        <v>0</v>
      </c>
      <c r="E1171">
        <f t="shared" si="18"/>
        <v>0</v>
      </c>
      <c r="F1171">
        <v>11353.2276</v>
      </c>
      <c r="G1171" t="s">
        <v>13</v>
      </c>
      <c r="H1171" t="s">
        <v>11</v>
      </c>
      <c r="I1171" t="s">
        <v>10</v>
      </c>
      <c r="J1171">
        <f>_xlfn.XLOOKUP(C1171,dim_BMI!$C$2:$C$7,dim_BMI!$A$2:$A$7,,1)</f>
        <v>4</v>
      </c>
      <c r="K1171" t="str">
        <f>_xlfn.XLOOKUP(C1171,dim_BMI!$C$2:$C$7,dim_BMI!$B$2:$B$7,,1)</f>
        <v>30.0 to 34.9 (Obesity Class 1)</v>
      </c>
    </row>
    <row r="1172" spans="1:11" x14ac:dyDescent="0.25">
      <c r="A1172" s="1">
        <v>1133</v>
      </c>
      <c r="B1172">
        <v>57</v>
      </c>
      <c r="C1172">
        <v>40.28</v>
      </c>
      <c r="D1172">
        <v>0</v>
      </c>
      <c r="E1172">
        <f t="shared" si="18"/>
        <v>0</v>
      </c>
      <c r="F1172">
        <v>20709.020339999999</v>
      </c>
      <c r="G1172" t="s">
        <v>14</v>
      </c>
      <c r="H1172" t="s">
        <v>11</v>
      </c>
      <c r="I1172" t="s">
        <v>10</v>
      </c>
      <c r="J1172">
        <f>_xlfn.XLOOKUP(C1172,dim_BMI!$C$2:$C$7,dim_BMI!$A$2:$A$7,,1)</f>
        <v>6</v>
      </c>
      <c r="K1172" t="str">
        <f>_xlfn.XLOOKUP(C1172,dim_BMI!$C$2:$C$7,dim_BMI!$B$2:$B$7,,1)</f>
        <v>40 or higher (Severe Obesity Class 3)</v>
      </c>
    </row>
    <row r="1173" spans="1:11" x14ac:dyDescent="0.25">
      <c r="A1173" s="1">
        <v>1167</v>
      </c>
      <c r="B1173">
        <v>57</v>
      </c>
      <c r="C1173">
        <v>40.369999999999997</v>
      </c>
      <c r="D1173">
        <v>0</v>
      </c>
      <c r="E1173">
        <f t="shared" si="18"/>
        <v>0</v>
      </c>
      <c r="F1173">
        <v>10982.5013</v>
      </c>
      <c r="G1173" t="s">
        <v>12</v>
      </c>
      <c r="H1173" t="s">
        <v>11</v>
      </c>
      <c r="I1173" t="s">
        <v>10</v>
      </c>
      <c r="J1173">
        <f>_xlfn.XLOOKUP(C1173,dim_BMI!$C$2:$C$7,dim_BMI!$A$2:$A$7,,1)</f>
        <v>6</v>
      </c>
      <c r="K1173" t="str">
        <f>_xlfn.XLOOKUP(C1173,dim_BMI!$C$2:$C$7,dim_BMI!$B$2:$B$7,,1)</f>
        <v>40 or higher (Severe Obesity Class 3)</v>
      </c>
    </row>
    <row r="1174" spans="1:11" x14ac:dyDescent="0.25">
      <c r="A1174" s="1">
        <v>1276</v>
      </c>
      <c r="B1174">
        <v>57</v>
      </c>
      <c r="C1174">
        <v>23.7</v>
      </c>
      <c r="D1174">
        <v>0</v>
      </c>
      <c r="E1174">
        <f t="shared" si="18"/>
        <v>0</v>
      </c>
      <c r="F1174">
        <v>10959.33</v>
      </c>
      <c r="G1174" t="s">
        <v>9</v>
      </c>
      <c r="H1174" t="s">
        <v>11</v>
      </c>
      <c r="I1174" t="s">
        <v>10</v>
      </c>
      <c r="J1174">
        <f>_xlfn.XLOOKUP(C1174,dim_BMI!$C$2:$C$7,dim_BMI!$A$2:$A$7,,1)</f>
        <v>2</v>
      </c>
      <c r="K1174" t="str">
        <f>_xlfn.XLOOKUP(C1174,dim_BMI!$C$2:$C$7,dim_BMI!$B$2:$B$7,,1)</f>
        <v>18.5 to 24.9 (Healthy Weight)</v>
      </c>
    </row>
    <row r="1175" spans="1:11" x14ac:dyDescent="0.25">
      <c r="A1175" s="1">
        <v>1331</v>
      </c>
      <c r="B1175">
        <v>57</v>
      </c>
      <c r="C1175">
        <v>25.74</v>
      </c>
      <c r="D1175">
        <v>2</v>
      </c>
      <c r="E1175">
        <f t="shared" si="18"/>
        <v>0</v>
      </c>
      <c r="F1175">
        <v>12629.1656</v>
      </c>
      <c r="G1175" t="s">
        <v>12</v>
      </c>
      <c r="H1175" t="s">
        <v>11</v>
      </c>
      <c r="I1175" t="s">
        <v>7</v>
      </c>
      <c r="J1175">
        <f>_xlfn.XLOOKUP(C1175,dim_BMI!$C$2:$C$7,dim_BMI!$A$2:$A$7,,1)</f>
        <v>3</v>
      </c>
      <c r="K1175" t="str">
        <f>_xlfn.XLOOKUP(C1175,dim_BMI!$C$2:$C$7,dim_BMI!$B$2:$B$7,,1)</f>
        <v>25.0 to 29.9 (Overweight)</v>
      </c>
    </row>
    <row r="1176" spans="1:11" x14ac:dyDescent="0.25">
      <c r="A1176" s="1">
        <v>56</v>
      </c>
      <c r="B1176">
        <v>58</v>
      </c>
      <c r="C1176">
        <v>36.954999999999998</v>
      </c>
      <c r="D1176">
        <v>2</v>
      </c>
      <c r="E1176">
        <f t="shared" si="18"/>
        <v>1</v>
      </c>
      <c r="F1176">
        <v>47496.494449999998</v>
      </c>
      <c r="G1176" t="s">
        <v>13</v>
      </c>
      <c r="H1176" t="s">
        <v>8</v>
      </c>
      <c r="I1176" t="s">
        <v>10</v>
      </c>
      <c r="J1176">
        <f>_xlfn.XLOOKUP(C1176,dim_BMI!$C$2:$C$7,dim_BMI!$A$2:$A$7,,1)</f>
        <v>5</v>
      </c>
      <c r="K1176" t="str">
        <f>_xlfn.XLOOKUP(C1176,dim_BMI!$C$2:$C$7,dim_BMI!$B$2:$B$7,,1)</f>
        <v>35 to 39.9 (Obesity Class 2)</v>
      </c>
    </row>
    <row r="1177" spans="1:11" x14ac:dyDescent="0.25">
      <c r="A1177" s="1">
        <v>57</v>
      </c>
      <c r="B1177">
        <v>58</v>
      </c>
      <c r="C1177">
        <v>31.824999999999999</v>
      </c>
      <c r="D1177">
        <v>2</v>
      </c>
      <c r="E1177">
        <f t="shared" si="18"/>
        <v>0</v>
      </c>
      <c r="F1177">
        <v>13607.36875</v>
      </c>
      <c r="G1177" t="s">
        <v>14</v>
      </c>
      <c r="H1177" t="s">
        <v>11</v>
      </c>
      <c r="I1177" t="s">
        <v>7</v>
      </c>
      <c r="J1177">
        <f>_xlfn.XLOOKUP(C1177,dim_BMI!$C$2:$C$7,dim_BMI!$A$2:$A$7,,1)</f>
        <v>4</v>
      </c>
      <c r="K1177" t="str">
        <f>_xlfn.XLOOKUP(C1177,dim_BMI!$C$2:$C$7,dim_BMI!$B$2:$B$7,,1)</f>
        <v>30.0 to 34.9 (Obesity Class 1)</v>
      </c>
    </row>
    <row r="1178" spans="1:11" x14ac:dyDescent="0.25">
      <c r="A1178" s="1">
        <v>74</v>
      </c>
      <c r="B1178">
        <v>58</v>
      </c>
      <c r="C1178">
        <v>32.01</v>
      </c>
      <c r="D1178">
        <v>1</v>
      </c>
      <c r="E1178">
        <f t="shared" si="18"/>
        <v>0</v>
      </c>
      <c r="F1178">
        <v>11946.625899999999</v>
      </c>
      <c r="G1178" t="s">
        <v>12</v>
      </c>
      <c r="H1178" t="s">
        <v>11</v>
      </c>
      <c r="I1178" t="s">
        <v>10</v>
      </c>
      <c r="J1178">
        <f>_xlfn.XLOOKUP(C1178,dim_BMI!$C$2:$C$7,dim_BMI!$A$2:$A$7,,1)</f>
        <v>4</v>
      </c>
      <c r="K1178" t="str">
        <f>_xlfn.XLOOKUP(C1178,dim_BMI!$C$2:$C$7,dim_BMI!$B$2:$B$7,,1)</f>
        <v>30.0 to 34.9 (Obesity Class 1)</v>
      </c>
    </row>
    <row r="1179" spans="1:11" x14ac:dyDescent="0.25">
      <c r="A1179" s="1">
        <v>117</v>
      </c>
      <c r="B1179">
        <v>58</v>
      </c>
      <c r="C1179">
        <v>49.06</v>
      </c>
      <c r="D1179">
        <v>0</v>
      </c>
      <c r="E1179">
        <f t="shared" si="18"/>
        <v>0</v>
      </c>
      <c r="F1179">
        <v>11381.3254</v>
      </c>
      <c r="G1179" t="s">
        <v>12</v>
      </c>
      <c r="H1179" t="s">
        <v>11</v>
      </c>
      <c r="I1179" t="s">
        <v>10</v>
      </c>
      <c r="J1179">
        <f>_xlfn.XLOOKUP(C1179,dim_BMI!$C$2:$C$7,dim_BMI!$A$2:$A$7,,1)</f>
        <v>6</v>
      </c>
      <c r="K1179" t="str">
        <f>_xlfn.XLOOKUP(C1179,dim_BMI!$C$2:$C$7,dim_BMI!$B$2:$B$7,,1)</f>
        <v>40 or higher (Severe Obesity Class 3)</v>
      </c>
    </row>
    <row r="1180" spans="1:11" x14ac:dyDescent="0.25">
      <c r="A1180" s="1">
        <v>181</v>
      </c>
      <c r="B1180">
        <v>58</v>
      </c>
      <c r="C1180">
        <v>28.594999999999999</v>
      </c>
      <c r="D1180">
        <v>0</v>
      </c>
      <c r="E1180">
        <f t="shared" si="18"/>
        <v>0</v>
      </c>
      <c r="F1180">
        <v>11735.87905</v>
      </c>
      <c r="G1180" t="s">
        <v>13</v>
      </c>
      <c r="H1180" t="s">
        <v>11</v>
      </c>
      <c r="I1180" t="s">
        <v>10</v>
      </c>
      <c r="J1180">
        <f>_xlfn.XLOOKUP(C1180,dim_BMI!$C$2:$C$7,dim_BMI!$A$2:$A$7,,1)</f>
        <v>3</v>
      </c>
      <c r="K1180" t="str">
        <f>_xlfn.XLOOKUP(C1180,dim_BMI!$C$2:$C$7,dim_BMI!$B$2:$B$7,,1)</f>
        <v>25.0 to 29.9 (Overweight)</v>
      </c>
    </row>
    <row r="1181" spans="1:11" x14ac:dyDescent="0.25">
      <c r="A1181" s="1">
        <v>228</v>
      </c>
      <c r="B1181">
        <v>58</v>
      </c>
      <c r="C1181">
        <v>41.91</v>
      </c>
      <c r="D1181">
        <v>0</v>
      </c>
      <c r="E1181">
        <f t="shared" si="18"/>
        <v>0</v>
      </c>
      <c r="F1181">
        <v>24227.337240000001</v>
      </c>
      <c r="G1181" t="s">
        <v>12</v>
      </c>
      <c r="H1181" t="s">
        <v>11</v>
      </c>
      <c r="I1181" t="s">
        <v>7</v>
      </c>
      <c r="J1181">
        <f>_xlfn.XLOOKUP(C1181,dim_BMI!$C$2:$C$7,dim_BMI!$A$2:$A$7,,1)</f>
        <v>6</v>
      </c>
      <c r="K1181" t="str">
        <f>_xlfn.XLOOKUP(C1181,dim_BMI!$C$2:$C$7,dim_BMI!$B$2:$B$7,,1)</f>
        <v>40 or higher (Severe Obesity Class 3)</v>
      </c>
    </row>
    <row r="1182" spans="1:11" x14ac:dyDescent="0.25">
      <c r="A1182" s="1">
        <v>261</v>
      </c>
      <c r="B1182">
        <v>58</v>
      </c>
      <c r="C1182">
        <v>25.2</v>
      </c>
      <c r="D1182">
        <v>0</v>
      </c>
      <c r="E1182">
        <f t="shared" si="18"/>
        <v>0</v>
      </c>
      <c r="F1182">
        <v>11837.16</v>
      </c>
      <c r="G1182" t="s">
        <v>9</v>
      </c>
      <c r="H1182" t="s">
        <v>11</v>
      </c>
      <c r="I1182" t="s">
        <v>7</v>
      </c>
      <c r="J1182">
        <f>_xlfn.XLOOKUP(C1182,dim_BMI!$C$2:$C$7,dim_BMI!$A$2:$A$7,,1)</f>
        <v>3</v>
      </c>
      <c r="K1182" t="str">
        <f>_xlfn.XLOOKUP(C1182,dim_BMI!$C$2:$C$7,dim_BMI!$B$2:$B$7,,1)</f>
        <v>25.0 to 29.9 (Overweight)</v>
      </c>
    </row>
    <row r="1183" spans="1:11" x14ac:dyDescent="0.25">
      <c r="A1183" s="1">
        <v>309</v>
      </c>
      <c r="B1183">
        <v>58</v>
      </c>
      <c r="C1183">
        <v>34.865000000000002</v>
      </c>
      <c r="D1183">
        <v>0</v>
      </c>
      <c r="E1183">
        <f t="shared" si="18"/>
        <v>0</v>
      </c>
      <c r="F1183">
        <v>11944.594349999999</v>
      </c>
      <c r="G1183" t="s">
        <v>14</v>
      </c>
      <c r="H1183" t="s">
        <v>11</v>
      </c>
      <c r="I1183" t="s">
        <v>10</v>
      </c>
      <c r="J1183">
        <f>_xlfn.XLOOKUP(C1183,dim_BMI!$C$2:$C$7,dim_BMI!$A$2:$A$7,,1)</f>
        <v>4</v>
      </c>
      <c r="K1183" t="str">
        <f>_xlfn.XLOOKUP(C1183,dim_BMI!$C$2:$C$7,dim_BMI!$B$2:$B$7,,1)</f>
        <v>30.0 to 34.9 (Obesity Class 1)</v>
      </c>
    </row>
    <row r="1184" spans="1:11" x14ac:dyDescent="0.25">
      <c r="A1184" s="1">
        <v>387</v>
      </c>
      <c r="B1184">
        <v>58</v>
      </c>
      <c r="C1184">
        <v>39.049999999999997</v>
      </c>
      <c r="D1184">
        <v>0</v>
      </c>
      <c r="E1184">
        <f t="shared" si="18"/>
        <v>0</v>
      </c>
      <c r="F1184">
        <v>11856.4115</v>
      </c>
      <c r="G1184" t="s">
        <v>12</v>
      </c>
      <c r="H1184" t="s">
        <v>11</v>
      </c>
      <c r="I1184" t="s">
        <v>7</v>
      </c>
      <c r="J1184">
        <f>_xlfn.XLOOKUP(C1184,dim_BMI!$C$2:$C$7,dim_BMI!$A$2:$A$7,,1)</f>
        <v>5</v>
      </c>
      <c r="K1184" t="str">
        <f>_xlfn.XLOOKUP(C1184,dim_BMI!$C$2:$C$7,dim_BMI!$B$2:$B$7,,1)</f>
        <v>35 to 39.9 (Obesity Class 2)</v>
      </c>
    </row>
    <row r="1185" spans="1:11" x14ac:dyDescent="0.25">
      <c r="A1185" s="1">
        <v>516</v>
      </c>
      <c r="B1185">
        <v>58</v>
      </c>
      <c r="C1185">
        <v>35.700000000000003</v>
      </c>
      <c r="D1185">
        <v>0</v>
      </c>
      <c r="E1185">
        <f t="shared" si="18"/>
        <v>0</v>
      </c>
      <c r="F1185">
        <v>11362.754999999999</v>
      </c>
      <c r="G1185" t="s">
        <v>9</v>
      </c>
      <c r="H1185" t="s">
        <v>11</v>
      </c>
      <c r="I1185" t="s">
        <v>10</v>
      </c>
      <c r="J1185">
        <f>_xlfn.XLOOKUP(C1185,dim_BMI!$C$2:$C$7,dim_BMI!$A$2:$A$7,,1)</f>
        <v>5</v>
      </c>
      <c r="K1185" t="str">
        <f>_xlfn.XLOOKUP(C1185,dim_BMI!$C$2:$C$7,dim_BMI!$B$2:$B$7,,1)</f>
        <v>35 to 39.9 (Obesity Class 2)</v>
      </c>
    </row>
    <row r="1186" spans="1:11" x14ac:dyDescent="0.25">
      <c r="A1186" s="1">
        <v>576</v>
      </c>
      <c r="B1186">
        <v>58</v>
      </c>
      <c r="C1186">
        <v>27.17</v>
      </c>
      <c r="D1186">
        <v>0</v>
      </c>
      <c r="E1186">
        <f t="shared" si="18"/>
        <v>0</v>
      </c>
      <c r="F1186">
        <v>12222.898300000001</v>
      </c>
      <c r="G1186" t="s">
        <v>13</v>
      </c>
      <c r="H1186" t="s">
        <v>11</v>
      </c>
      <c r="I1186" t="s">
        <v>7</v>
      </c>
      <c r="J1186">
        <f>_xlfn.XLOOKUP(C1186,dim_BMI!$C$2:$C$7,dim_BMI!$A$2:$A$7,,1)</f>
        <v>3</v>
      </c>
      <c r="K1186" t="str">
        <f>_xlfn.XLOOKUP(C1186,dim_BMI!$C$2:$C$7,dim_BMI!$B$2:$B$7,,1)</f>
        <v>25.0 to 29.9 (Overweight)</v>
      </c>
    </row>
    <row r="1187" spans="1:11" x14ac:dyDescent="0.25">
      <c r="A1187" s="1">
        <v>591</v>
      </c>
      <c r="B1187">
        <v>58</v>
      </c>
      <c r="C1187">
        <v>29</v>
      </c>
      <c r="D1187">
        <v>0</v>
      </c>
      <c r="E1187">
        <f t="shared" si="18"/>
        <v>0</v>
      </c>
      <c r="F1187">
        <v>11842.441999999999</v>
      </c>
      <c r="G1187" t="s">
        <v>9</v>
      </c>
      <c r="H1187" t="s">
        <v>11</v>
      </c>
      <c r="I1187" t="s">
        <v>7</v>
      </c>
      <c r="J1187">
        <f>_xlfn.XLOOKUP(C1187,dim_BMI!$C$2:$C$7,dim_BMI!$A$2:$A$7,,1)</f>
        <v>3</v>
      </c>
      <c r="K1187" t="str">
        <f>_xlfn.XLOOKUP(C1187,dim_BMI!$C$2:$C$7,dim_BMI!$B$2:$B$7,,1)</f>
        <v>25.0 to 29.9 (Overweight)</v>
      </c>
    </row>
    <row r="1188" spans="1:11" x14ac:dyDescent="0.25">
      <c r="A1188" s="1">
        <v>629</v>
      </c>
      <c r="B1188">
        <v>58</v>
      </c>
      <c r="C1188">
        <v>38</v>
      </c>
      <c r="D1188">
        <v>0</v>
      </c>
      <c r="E1188">
        <f t="shared" si="18"/>
        <v>0</v>
      </c>
      <c r="F1188">
        <v>11365.951999999999</v>
      </c>
      <c r="G1188" t="s">
        <v>9</v>
      </c>
      <c r="H1188" t="s">
        <v>11</v>
      </c>
      <c r="I1188" t="s">
        <v>10</v>
      </c>
      <c r="J1188">
        <f>_xlfn.XLOOKUP(C1188,dim_BMI!$C$2:$C$7,dim_BMI!$A$2:$A$7,,1)</f>
        <v>5</v>
      </c>
      <c r="K1188" t="str">
        <f>_xlfn.XLOOKUP(C1188,dim_BMI!$C$2:$C$7,dim_BMI!$B$2:$B$7,,1)</f>
        <v>35 to 39.9 (Obesity Class 2)</v>
      </c>
    </row>
    <row r="1189" spans="1:11" x14ac:dyDescent="0.25">
      <c r="A1189" s="1">
        <v>650</v>
      </c>
      <c r="B1189">
        <v>58</v>
      </c>
      <c r="C1189">
        <v>32.965000000000003</v>
      </c>
      <c r="D1189">
        <v>0</v>
      </c>
      <c r="E1189">
        <f t="shared" si="18"/>
        <v>0</v>
      </c>
      <c r="F1189">
        <v>12430.95335</v>
      </c>
      <c r="G1189" t="s">
        <v>14</v>
      </c>
      <c r="H1189" t="s">
        <v>11</v>
      </c>
      <c r="I1189" t="s">
        <v>7</v>
      </c>
      <c r="J1189">
        <f>_xlfn.XLOOKUP(C1189,dim_BMI!$C$2:$C$7,dim_BMI!$A$2:$A$7,,1)</f>
        <v>4</v>
      </c>
      <c r="K1189" t="str">
        <f>_xlfn.XLOOKUP(C1189,dim_BMI!$C$2:$C$7,dim_BMI!$B$2:$B$7,,1)</f>
        <v>30.0 to 34.9 (Obesity Class 1)</v>
      </c>
    </row>
    <row r="1190" spans="1:11" x14ac:dyDescent="0.25">
      <c r="A1190" s="1">
        <v>720</v>
      </c>
      <c r="B1190">
        <v>58</v>
      </c>
      <c r="C1190">
        <v>33.44</v>
      </c>
      <c r="D1190">
        <v>0</v>
      </c>
      <c r="E1190">
        <f t="shared" si="18"/>
        <v>0</v>
      </c>
      <c r="F1190">
        <v>12231.613600000001</v>
      </c>
      <c r="G1190" t="s">
        <v>13</v>
      </c>
      <c r="H1190" t="s">
        <v>11</v>
      </c>
      <c r="I1190" t="s">
        <v>7</v>
      </c>
      <c r="J1190">
        <f>_xlfn.XLOOKUP(C1190,dim_BMI!$C$2:$C$7,dim_BMI!$A$2:$A$7,,1)</f>
        <v>4</v>
      </c>
      <c r="K1190" t="str">
        <f>_xlfn.XLOOKUP(C1190,dim_BMI!$C$2:$C$7,dim_BMI!$B$2:$B$7,,1)</f>
        <v>30.0 to 34.9 (Obesity Class 1)</v>
      </c>
    </row>
    <row r="1191" spans="1:11" x14ac:dyDescent="0.25">
      <c r="A1191" s="1">
        <v>754</v>
      </c>
      <c r="B1191">
        <v>58</v>
      </c>
      <c r="C1191">
        <v>22.77</v>
      </c>
      <c r="D1191">
        <v>0</v>
      </c>
      <c r="E1191">
        <f t="shared" si="18"/>
        <v>0</v>
      </c>
      <c r="F1191">
        <v>11833.782300000001</v>
      </c>
      <c r="G1191" t="s">
        <v>12</v>
      </c>
      <c r="H1191" t="s">
        <v>11</v>
      </c>
      <c r="I1191" t="s">
        <v>7</v>
      </c>
      <c r="J1191">
        <f>_xlfn.XLOOKUP(C1191,dim_BMI!$C$2:$C$7,dim_BMI!$A$2:$A$7,,1)</f>
        <v>2</v>
      </c>
      <c r="K1191" t="str">
        <f>_xlfn.XLOOKUP(C1191,dim_BMI!$C$2:$C$7,dim_BMI!$B$2:$B$7,,1)</f>
        <v>18.5 to 24.9 (Healthy Weight)</v>
      </c>
    </row>
    <row r="1192" spans="1:11" x14ac:dyDescent="0.25">
      <c r="A1192" s="1">
        <v>799</v>
      </c>
      <c r="B1192">
        <v>58</v>
      </c>
      <c r="C1192">
        <v>33.1</v>
      </c>
      <c r="D1192">
        <v>0</v>
      </c>
      <c r="E1192">
        <f t="shared" si="18"/>
        <v>0</v>
      </c>
      <c r="F1192">
        <v>11848.141</v>
      </c>
      <c r="G1192" t="s">
        <v>9</v>
      </c>
      <c r="H1192" t="s">
        <v>11</v>
      </c>
      <c r="I1192" t="s">
        <v>7</v>
      </c>
      <c r="J1192">
        <f>_xlfn.XLOOKUP(C1192,dim_BMI!$C$2:$C$7,dim_BMI!$A$2:$A$7,,1)</f>
        <v>4</v>
      </c>
      <c r="K1192" t="str">
        <f>_xlfn.XLOOKUP(C1192,dim_BMI!$C$2:$C$7,dim_BMI!$B$2:$B$7,,1)</f>
        <v>30.0 to 34.9 (Obesity Class 1)</v>
      </c>
    </row>
    <row r="1193" spans="1:11" x14ac:dyDescent="0.25">
      <c r="A1193" s="1">
        <v>834</v>
      </c>
      <c r="B1193">
        <v>58</v>
      </c>
      <c r="C1193">
        <v>34.39</v>
      </c>
      <c r="D1193">
        <v>0</v>
      </c>
      <c r="E1193">
        <f t="shared" si="18"/>
        <v>0</v>
      </c>
      <c r="F1193">
        <v>11743.9341</v>
      </c>
      <c r="G1193" t="s">
        <v>13</v>
      </c>
      <c r="H1193" t="s">
        <v>11</v>
      </c>
      <c r="I1193" t="s">
        <v>10</v>
      </c>
      <c r="J1193">
        <f>_xlfn.XLOOKUP(C1193,dim_BMI!$C$2:$C$7,dim_BMI!$A$2:$A$7,,1)</f>
        <v>4</v>
      </c>
      <c r="K1193" t="str">
        <f>_xlfn.XLOOKUP(C1193,dim_BMI!$C$2:$C$7,dim_BMI!$B$2:$B$7,,1)</f>
        <v>30.0 to 34.9 (Obesity Class 1)</v>
      </c>
    </row>
    <row r="1194" spans="1:11" x14ac:dyDescent="0.25">
      <c r="A1194" s="1">
        <v>1104</v>
      </c>
      <c r="B1194">
        <v>58</v>
      </c>
      <c r="C1194">
        <v>36.08</v>
      </c>
      <c r="D1194">
        <v>0</v>
      </c>
      <c r="E1194">
        <f t="shared" si="18"/>
        <v>0</v>
      </c>
      <c r="F1194">
        <v>11363.2832</v>
      </c>
      <c r="G1194" t="s">
        <v>12</v>
      </c>
      <c r="H1194" t="s">
        <v>11</v>
      </c>
      <c r="I1194" t="s">
        <v>10</v>
      </c>
      <c r="J1194">
        <f>_xlfn.XLOOKUP(C1194,dim_BMI!$C$2:$C$7,dim_BMI!$A$2:$A$7,,1)</f>
        <v>5</v>
      </c>
      <c r="K1194" t="str">
        <f>_xlfn.XLOOKUP(C1194,dim_BMI!$C$2:$C$7,dim_BMI!$B$2:$B$7,,1)</f>
        <v>35 to 39.9 (Obesity Class 2)</v>
      </c>
    </row>
    <row r="1195" spans="1:11" x14ac:dyDescent="0.25">
      <c r="A1195" s="1">
        <v>1152</v>
      </c>
      <c r="B1195">
        <v>58</v>
      </c>
      <c r="C1195">
        <v>36.479999999999997</v>
      </c>
      <c r="D1195">
        <v>0</v>
      </c>
      <c r="E1195">
        <f t="shared" si="18"/>
        <v>0</v>
      </c>
      <c r="F1195">
        <v>12235.8392</v>
      </c>
      <c r="G1195" t="s">
        <v>13</v>
      </c>
      <c r="H1195" t="s">
        <v>11</v>
      </c>
      <c r="I1195" t="s">
        <v>7</v>
      </c>
      <c r="J1195">
        <f>_xlfn.XLOOKUP(C1195,dim_BMI!$C$2:$C$7,dim_BMI!$A$2:$A$7,,1)</f>
        <v>5</v>
      </c>
      <c r="K1195" t="str">
        <f>_xlfn.XLOOKUP(C1195,dim_BMI!$C$2:$C$7,dim_BMI!$B$2:$B$7,,1)</f>
        <v>35 to 39.9 (Obesity Class 2)</v>
      </c>
    </row>
    <row r="1196" spans="1:11" x14ac:dyDescent="0.25">
      <c r="A1196" s="1">
        <v>1193</v>
      </c>
      <c r="B1196">
        <v>58</v>
      </c>
      <c r="C1196">
        <v>32.395000000000003</v>
      </c>
      <c r="D1196">
        <v>1</v>
      </c>
      <c r="E1196">
        <f t="shared" si="18"/>
        <v>0</v>
      </c>
      <c r="F1196">
        <v>13019.161050000001</v>
      </c>
      <c r="G1196" t="s">
        <v>14</v>
      </c>
      <c r="H1196" t="s">
        <v>11</v>
      </c>
      <c r="I1196" t="s">
        <v>7</v>
      </c>
      <c r="J1196">
        <f>_xlfn.XLOOKUP(C1196,dim_BMI!$C$2:$C$7,dim_BMI!$A$2:$A$7,,1)</f>
        <v>4</v>
      </c>
      <c r="K1196" t="str">
        <f>_xlfn.XLOOKUP(C1196,dim_BMI!$C$2:$C$7,dim_BMI!$B$2:$B$7,,1)</f>
        <v>30.0 to 34.9 (Obesity Class 1)</v>
      </c>
    </row>
    <row r="1197" spans="1:11" x14ac:dyDescent="0.25">
      <c r="A1197" s="1">
        <v>1230</v>
      </c>
      <c r="B1197">
        <v>58</v>
      </c>
      <c r="C1197">
        <v>30.305</v>
      </c>
      <c r="D1197">
        <v>0</v>
      </c>
      <c r="E1197">
        <f t="shared" si="18"/>
        <v>0</v>
      </c>
      <c r="F1197">
        <v>11938.255950000001</v>
      </c>
      <c r="G1197" t="s">
        <v>14</v>
      </c>
      <c r="H1197" t="s">
        <v>11</v>
      </c>
      <c r="I1197" t="s">
        <v>10</v>
      </c>
      <c r="J1197">
        <f>_xlfn.XLOOKUP(C1197,dim_BMI!$C$2:$C$7,dim_BMI!$A$2:$A$7,,1)</f>
        <v>4</v>
      </c>
      <c r="K1197" t="str">
        <f>_xlfn.XLOOKUP(C1197,dim_BMI!$C$2:$C$7,dim_BMI!$B$2:$B$7,,1)</f>
        <v>30.0 to 34.9 (Obesity Class 1)</v>
      </c>
    </row>
    <row r="1198" spans="1:11" x14ac:dyDescent="0.25">
      <c r="A1198" s="1">
        <v>1234</v>
      </c>
      <c r="B1198">
        <v>58</v>
      </c>
      <c r="C1198">
        <v>23.3</v>
      </c>
      <c r="D1198">
        <v>0</v>
      </c>
      <c r="E1198">
        <f t="shared" si="18"/>
        <v>0</v>
      </c>
      <c r="F1198">
        <v>11345.519</v>
      </c>
      <c r="G1198" t="s">
        <v>9</v>
      </c>
      <c r="H1198" t="s">
        <v>11</v>
      </c>
      <c r="I1198" t="s">
        <v>10</v>
      </c>
      <c r="J1198">
        <f>_xlfn.XLOOKUP(C1198,dim_BMI!$C$2:$C$7,dim_BMI!$A$2:$A$7,,1)</f>
        <v>2</v>
      </c>
      <c r="K1198" t="str">
        <f>_xlfn.XLOOKUP(C1198,dim_BMI!$C$2:$C$7,dim_BMI!$B$2:$B$7,,1)</f>
        <v>18.5 to 24.9 (Healthy Weight)</v>
      </c>
    </row>
    <row r="1199" spans="1:11" x14ac:dyDescent="0.25">
      <c r="A1199" s="1">
        <v>1238</v>
      </c>
      <c r="B1199">
        <v>58</v>
      </c>
      <c r="C1199">
        <v>28.215</v>
      </c>
      <c r="D1199">
        <v>0</v>
      </c>
      <c r="E1199">
        <f t="shared" si="18"/>
        <v>0</v>
      </c>
      <c r="F1199">
        <v>12224.350850000001</v>
      </c>
      <c r="G1199" t="s">
        <v>13</v>
      </c>
      <c r="H1199" t="s">
        <v>11</v>
      </c>
      <c r="I1199" t="s">
        <v>7</v>
      </c>
      <c r="J1199">
        <f>_xlfn.XLOOKUP(C1199,dim_BMI!$C$2:$C$7,dim_BMI!$A$2:$A$7,,1)</f>
        <v>3</v>
      </c>
      <c r="K1199" t="str">
        <f>_xlfn.XLOOKUP(C1199,dim_BMI!$C$2:$C$7,dim_BMI!$B$2:$B$7,,1)</f>
        <v>25.0 to 29.9 (Overweight)</v>
      </c>
    </row>
    <row r="1200" spans="1:11" x14ac:dyDescent="0.25">
      <c r="A1200" s="1">
        <v>1295</v>
      </c>
      <c r="B1200">
        <v>58</v>
      </c>
      <c r="C1200">
        <v>25.175000000000001</v>
      </c>
      <c r="D1200">
        <v>0</v>
      </c>
      <c r="E1200">
        <f t="shared" si="18"/>
        <v>0</v>
      </c>
      <c r="F1200">
        <v>11931.125249999999</v>
      </c>
      <c r="G1200" t="s">
        <v>14</v>
      </c>
      <c r="H1200" t="s">
        <v>11</v>
      </c>
      <c r="I1200" t="s">
        <v>10</v>
      </c>
      <c r="J1200">
        <f>_xlfn.XLOOKUP(C1200,dim_BMI!$C$2:$C$7,dim_BMI!$A$2:$A$7,,1)</f>
        <v>3</v>
      </c>
      <c r="K1200" t="str">
        <f>_xlfn.XLOOKUP(C1200,dim_BMI!$C$2:$C$7,dim_BMI!$B$2:$B$7,,1)</f>
        <v>25.0 to 29.9 (Overweight)</v>
      </c>
    </row>
    <row r="1201" spans="1:11" x14ac:dyDescent="0.25">
      <c r="A1201" s="1">
        <v>26</v>
      </c>
      <c r="B1201">
        <v>59</v>
      </c>
      <c r="C1201">
        <v>27.72</v>
      </c>
      <c r="D1201">
        <v>3</v>
      </c>
      <c r="E1201">
        <f t="shared" si="18"/>
        <v>0</v>
      </c>
      <c r="F1201">
        <v>14001.1338</v>
      </c>
      <c r="G1201" t="s">
        <v>12</v>
      </c>
      <c r="H1201" t="s">
        <v>11</v>
      </c>
      <c r="I1201" t="s">
        <v>7</v>
      </c>
      <c r="J1201">
        <f>_xlfn.XLOOKUP(C1201,dim_BMI!$C$2:$C$7,dim_BMI!$A$2:$A$7,,1)</f>
        <v>3</v>
      </c>
      <c r="K1201" t="str">
        <f>_xlfn.XLOOKUP(C1201,dim_BMI!$C$2:$C$7,dim_BMI!$B$2:$B$7,,1)</f>
        <v>25.0 to 29.9 (Overweight)</v>
      </c>
    </row>
    <row r="1202" spans="1:11" x14ac:dyDescent="0.25">
      <c r="A1202" s="1">
        <v>93</v>
      </c>
      <c r="B1202">
        <v>59</v>
      </c>
      <c r="C1202">
        <v>29.83</v>
      </c>
      <c r="D1202">
        <v>3</v>
      </c>
      <c r="E1202">
        <f t="shared" si="18"/>
        <v>1</v>
      </c>
      <c r="F1202">
        <v>30184.936699999998</v>
      </c>
      <c r="G1202" t="s">
        <v>14</v>
      </c>
      <c r="H1202" t="s">
        <v>8</v>
      </c>
      <c r="I1202" t="s">
        <v>10</v>
      </c>
      <c r="J1202">
        <f>_xlfn.XLOOKUP(C1202,dim_BMI!$C$2:$C$7,dim_BMI!$A$2:$A$7,,1)</f>
        <v>3</v>
      </c>
      <c r="K1202" t="str">
        <f>_xlfn.XLOOKUP(C1202,dim_BMI!$C$2:$C$7,dim_BMI!$B$2:$B$7,,1)</f>
        <v>25.0 to 29.9 (Overweight)</v>
      </c>
    </row>
    <row r="1203" spans="1:11" x14ac:dyDescent="0.25">
      <c r="A1203" s="1">
        <v>131</v>
      </c>
      <c r="B1203">
        <v>59</v>
      </c>
      <c r="C1203">
        <v>26.504999999999999</v>
      </c>
      <c r="D1203">
        <v>0</v>
      </c>
      <c r="E1203">
        <f t="shared" si="18"/>
        <v>0</v>
      </c>
      <c r="F1203">
        <v>12815.444949999999</v>
      </c>
      <c r="G1203" t="s">
        <v>14</v>
      </c>
      <c r="H1203" t="s">
        <v>11</v>
      </c>
      <c r="I1203" t="s">
        <v>7</v>
      </c>
      <c r="J1203">
        <f>_xlfn.XLOOKUP(C1203,dim_BMI!$C$2:$C$7,dim_BMI!$A$2:$A$7,,1)</f>
        <v>3</v>
      </c>
      <c r="K1203" t="str">
        <f>_xlfn.XLOOKUP(C1203,dim_BMI!$C$2:$C$7,dim_BMI!$B$2:$B$7,,1)</f>
        <v>25.0 to 29.9 (Overweight)</v>
      </c>
    </row>
    <row r="1204" spans="1:11" x14ac:dyDescent="0.25">
      <c r="A1204" s="1">
        <v>207</v>
      </c>
      <c r="B1204">
        <v>59</v>
      </c>
      <c r="C1204">
        <v>26.4</v>
      </c>
      <c r="D1204">
        <v>0</v>
      </c>
      <c r="E1204">
        <f t="shared" si="18"/>
        <v>0</v>
      </c>
      <c r="F1204">
        <v>11743.299000000001</v>
      </c>
      <c r="G1204" t="s">
        <v>12</v>
      </c>
      <c r="H1204" t="s">
        <v>11</v>
      </c>
      <c r="I1204" t="s">
        <v>10</v>
      </c>
      <c r="J1204">
        <f>_xlfn.XLOOKUP(C1204,dim_BMI!$C$2:$C$7,dim_BMI!$A$2:$A$7,,1)</f>
        <v>3</v>
      </c>
      <c r="K1204" t="str">
        <f>_xlfn.XLOOKUP(C1204,dim_BMI!$C$2:$C$7,dim_BMI!$B$2:$B$7,,1)</f>
        <v>25.0 to 29.9 (Overweight)</v>
      </c>
    </row>
    <row r="1205" spans="1:11" x14ac:dyDescent="0.25">
      <c r="A1205" s="1">
        <v>232</v>
      </c>
      <c r="B1205">
        <v>59</v>
      </c>
      <c r="C1205">
        <v>27.83</v>
      </c>
      <c r="D1205">
        <v>3</v>
      </c>
      <c r="E1205">
        <f t="shared" si="18"/>
        <v>0</v>
      </c>
      <c r="F1205">
        <v>14001.286700000001</v>
      </c>
      <c r="G1205" t="s">
        <v>12</v>
      </c>
      <c r="H1205" t="s">
        <v>11</v>
      </c>
      <c r="I1205" t="s">
        <v>7</v>
      </c>
      <c r="J1205">
        <f>_xlfn.XLOOKUP(C1205,dim_BMI!$C$2:$C$7,dim_BMI!$A$2:$A$7,,1)</f>
        <v>3</v>
      </c>
      <c r="K1205" t="str">
        <f>_xlfn.XLOOKUP(C1205,dim_BMI!$C$2:$C$7,dim_BMI!$B$2:$B$7,,1)</f>
        <v>25.0 to 29.9 (Overweight)</v>
      </c>
    </row>
    <row r="1206" spans="1:11" x14ac:dyDescent="0.25">
      <c r="A1206" s="1">
        <v>234</v>
      </c>
      <c r="B1206">
        <v>59</v>
      </c>
      <c r="C1206">
        <v>27.5</v>
      </c>
      <c r="D1206">
        <v>1</v>
      </c>
      <c r="E1206">
        <f t="shared" si="18"/>
        <v>0</v>
      </c>
      <c r="F1206">
        <v>12333.828</v>
      </c>
      <c r="G1206" t="s">
        <v>9</v>
      </c>
      <c r="H1206" t="s">
        <v>11</v>
      </c>
      <c r="I1206" t="s">
        <v>10</v>
      </c>
      <c r="J1206">
        <f>_xlfn.XLOOKUP(C1206,dim_BMI!$C$2:$C$7,dim_BMI!$A$2:$A$7,,1)</f>
        <v>3</v>
      </c>
      <c r="K1206" t="str">
        <f>_xlfn.XLOOKUP(C1206,dim_BMI!$C$2:$C$7,dim_BMI!$B$2:$B$7,,1)</f>
        <v>25.0 to 29.9 (Overweight)</v>
      </c>
    </row>
    <row r="1207" spans="1:11" x14ac:dyDescent="0.25">
      <c r="A1207" s="1">
        <v>268</v>
      </c>
      <c r="B1207">
        <v>59</v>
      </c>
      <c r="C1207">
        <v>32.395000000000003</v>
      </c>
      <c r="D1207">
        <v>3</v>
      </c>
      <c r="E1207">
        <f t="shared" si="18"/>
        <v>0</v>
      </c>
      <c r="F1207">
        <v>14590.63205</v>
      </c>
      <c r="G1207" t="s">
        <v>14</v>
      </c>
      <c r="H1207" t="s">
        <v>11</v>
      </c>
      <c r="I1207" t="s">
        <v>7</v>
      </c>
      <c r="J1207">
        <f>_xlfn.XLOOKUP(C1207,dim_BMI!$C$2:$C$7,dim_BMI!$A$2:$A$7,,1)</f>
        <v>4</v>
      </c>
      <c r="K1207" t="str">
        <f>_xlfn.XLOOKUP(C1207,dim_BMI!$C$2:$C$7,dim_BMI!$B$2:$B$7,,1)</f>
        <v>30.0 to 34.9 (Obesity Class 1)</v>
      </c>
    </row>
    <row r="1208" spans="1:11" x14ac:dyDescent="0.25">
      <c r="A1208" s="1">
        <v>279</v>
      </c>
      <c r="B1208">
        <v>59</v>
      </c>
      <c r="C1208">
        <v>31.79</v>
      </c>
      <c r="D1208">
        <v>2</v>
      </c>
      <c r="E1208">
        <f t="shared" si="18"/>
        <v>0</v>
      </c>
      <c r="F1208">
        <v>12928.7911</v>
      </c>
      <c r="G1208" t="s">
        <v>12</v>
      </c>
      <c r="H1208" t="s">
        <v>11</v>
      </c>
      <c r="I1208" t="s">
        <v>10</v>
      </c>
      <c r="J1208">
        <f>_xlfn.XLOOKUP(C1208,dim_BMI!$C$2:$C$7,dim_BMI!$A$2:$A$7,,1)</f>
        <v>4</v>
      </c>
      <c r="K1208" t="str">
        <f>_xlfn.XLOOKUP(C1208,dim_BMI!$C$2:$C$7,dim_BMI!$B$2:$B$7,,1)</f>
        <v>30.0 to 34.9 (Obesity Class 1)</v>
      </c>
    </row>
    <row r="1209" spans="1:11" x14ac:dyDescent="0.25">
      <c r="A1209" s="1">
        <v>289</v>
      </c>
      <c r="B1209">
        <v>59</v>
      </c>
      <c r="C1209">
        <v>36.765000000000001</v>
      </c>
      <c r="D1209">
        <v>1</v>
      </c>
      <c r="E1209">
        <f t="shared" si="18"/>
        <v>1</v>
      </c>
      <c r="F1209">
        <v>47896.79135</v>
      </c>
      <c r="G1209" t="s">
        <v>14</v>
      </c>
      <c r="H1209" t="s">
        <v>8</v>
      </c>
      <c r="I1209" t="s">
        <v>7</v>
      </c>
      <c r="J1209">
        <f>_xlfn.XLOOKUP(C1209,dim_BMI!$C$2:$C$7,dim_BMI!$A$2:$A$7,,1)</f>
        <v>5</v>
      </c>
      <c r="K1209" t="str">
        <f>_xlfn.XLOOKUP(C1209,dim_BMI!$C$2:$C$7,dim_BMI!$B$2:$B$7,,1)</f>
        <v>35 to 39.9 (Obesity Class 2)</v>
      </c>
    </row>
    <row r="1210" spans="1:11" x14ac:dyDescent="0.25">
      <c r="A1210" s="1">
        <v>444</v>
      </c>
      <c r="B1210">
        <v>59</v>
      </c>
      <c r="C1210">
        <v>36.520000000000003</v>
      </c>
      <c r="D1210">
        <v>1</v>
      </c>
      <c r="E1210">
        <f t="shared" si="18"/>
        <v>0</v>
      </c>
      <c r="F1210">
        <v>28287.897659999999</v>
      </c>
      <c r="G1210" t="s">
        <v>12</v>
      </c>
      <c r="H1210" t="s">
        <v>11</v>
      </c>
      <c r="I1210" t="s">
        <v>7</v>
      </c>
      <c r="J1210">
        <f>_xlfn.XLOOKUP(C1210,dim_BMI!$C$2:$C$7,dim_BMI!$A$2:$A$7,,1)</f>
        <v>5</v>
      </c>
      <c r="K1210" t="str">
        <f>_xlfn.XLOOKUP(C1210,dim_BMI!$C$2:$C$7,dim_BMI!$B$2:$B$7,,1)</f>
        <v>35 to 39.9 (Obesity Class 2)</v>
      </c>
    </row>
    <row r="1211" spans="1:11" x14ac:dyDescent="0.25">
      <c r="A1211" s="1">
        <v>456</v>
      </c>
      <c r="B1211">
        <v>59</v>
      </c>
      <c r="C1211">
        <v>37.4</v>
      </c>
      <c r="D1211">
        <v>0</v>
      </c>
      <c r="E1211">
        <f t="shared" si="18"/>
        <v>0</v>
      </c>
      <c r="F1211">
        <v>21797.000400000001</v>
      </c>
      <c r="G1211" t="s">
        <v>9</v>
      </c>
      <c r="H1211" t="s">
        <v>11</v>
      </c>
      <c r="I1211" t="s">
        <v>10</v>
      </c>
      <c r="J1211">
        <f>_xlfn.XLOOKUP(C1211,dim_BMI!$C$2:$C$7,dim_BMI!$A$2:$A$7,,1)</f>
        <v>5</v>
      </c>
      <c r="K1211" t="str">
        <f>_xlfn.XLOOKUP(C1211,dim_BMI!$C$2:$C$7,dim_BMI!$B$2:$B$7,,1)</f>
        <v>35 to 39.9 (Obesity Class 2)</v>
      </c>
    </row>
    <row r="1212" spans="1:11" x14ac:dyDescent="0.25">
      <c r="A1212" s="1">
        <v>533</v>
      </c>
      <c r="B1212">
        <v>59</v>
      </c>
      <c r="C1212">
        <v>29.7</v>
      </c>
      <c r="D1212">
        <v>2</v>
      </c>
      <c r="E1212">
        <f t="shared" si="18"/>
        <v>0</v>
      </c>
      <c r="F1212">
        <v>12925.886</v>
      </c>
      <c r="G1212" t="s">
        <v>12</v>
      </c>
      <c r="H1212" t="s">
        <v>11</v>
      </c>
      <c r="I1212" t="s">
        <v>10</v>
      </c>
      <c r="J1212">
        <f>_xlfn.XLOOKUP(C1212,dim_BMI!$C$2:$C$7,dim_BMI!$A$2:$A$7,,1)</f>
        <v>3</v>
      </c>
      <c r="K1212" t="str">
        <f>_xlfn.XLOOKUP(C1212,dim_BMI!$C$2:$C$7,dim_BMI!$B$2:$B$7,,1)</f>
        <v>25.0 to 29.9 (Overweight)</v>
      </c>
    </row>
    <row r="1213" spans="1:11" x14ac:dyDescent="0.25">
      <c r="A1213" s="1">
        <v>581</v>
      </c>
      <c r="B1213">
        <v>59</v>
      </c>
      <c r="C1213">
        <v>25.46</v>
      </c>
      <c r="D1213">
        <v>1</v>
      </c>
      <c r="E1213">
        <f t="shared" si="18"/>
        <v>0</v>
      </c>
      <c r="F1213">
        <v>12913.992399999999</v>
      </c>
      <c r="G1213" t="s">
        <v>14</v>
      </c>
      <c r="H1213" t="s">
        <v>11</v>
      </c>
      <c r="I1213" t="s">
        <v>10</v>
      </c>
      <c r="J1213">
        <f>_xlfn.XLOOKUP(C1213,dim_BMI!$C$2:$C$7,dim_BMI!$A$2:$A$7,,1)</f>
        <v>3</v>
      </c>
      <c r="K1213" t="str">
        <f>_xlfn.XLOOKUP(C1213,dim_BMI!$C$2:$C$7,dim_BMI!$B$2:$B$7,,1)</f>
        <v>25.0 to 29.9 (Overweight)</v>
      </c>
    </row>
    <row r="1214" spans="1:11" x14ac:dyDescent="0.25">
      <c r="A1214" s="1">
        <v>608</v>
      </c>
      <c r="B1214">
        <v>59</v>
      </c>
      <c r="C1214">
        <v>23.655000000000001</v>
      </c>
      <c r="D1214">
        <v>0</v>
      </c>
      <c r="E1214">
        <f t="shared" si="18"/>
        <v>1</v>
      </c>
      <c r="F1214">
        <v>25678.778450000002</v>
      </c>
      <c r="G1214" t="s">
        <v>13</v>
      </c>
      <c r="H1214" t="s">
        <v>8</v>
      </c>
      <c r="I1214" t="s">
        <v>7</v>
      </c>
      <c r="J1214">
        <f>_xlfn.XLOOKUP(C1214,dim_BMI!$C$2:$C$7,dim_BMI!$A$2:$A$7,,1)</f>
        <v>2</v>
      </c>
      <c r="K1214" t="str">
        <f>_xlfn.XLOOKUP(C1214,dim_BMI!$C$2:$C$7,dim_BMI!$B$2:$B$7,,1)</f>
        <v>18.5 to 24.9 (Healthy Weight)</v>
      </c>
    </row>
    <row r="1215" spans="1:11" x14ac:dyDescent="0.25">
      <c r="A1215" s="1">
        <v>625</v>
      </c>
      <c r="B1215">
        <v>59</v>
      </c>
      <c r="C1215">
        <v>28.785</v>
      </c>
      <c r="D1215">
        <v>0</v>
      </c>
      <c r="E1215">
        <f t="shared" si="18"/>
        <v>0</v>
      </c>
      <c r="F1215">
        <v>12129.614149999999</v>
      </c>
      <c r="G1215" t="s">
        <v>13</v>
      </c>
      <c r="H1215" t="s">
        <v>11</v>
      </c>
      <c r="I1215" t="s">
        <v>10</v>
      </c>
      <c r="J1215">
        <f>_xlfn.XLOOKUP(C1215,dim_BMI!$C$2:$C$7,dim_BMI!$A$2:$A$7,,1)</f>
        <v>3</v>
      </c>
      <c r="K1215" t="str">
        <f>_xlfn.XLOOKUP(C1215,dim_BMI!$C$2:$C$7,dim_BMI!$B$2:$B$7,,1)</f>
        <v>25.0 to 29.9 (Overweight)</v>
      </c>
    </row>
    <row r="1216" spans="1:11" x14ac:dyDescent="0.25">
      <c r="A1216" s="1">
        <v>655</v>
      </c>
      <c r="B1216">
        <v>59</v>
      </c>
      <c r="C1216">
        <v>35.200000000000003</v>
      </c>
      <c r="D1216">
        <v>0</v>
      </c>
      <c r="E1216">
        <f t="shared" si="18"/>
        <v>0</v>
      </c>
      <c r="F1216">
        <v>12244.531000000001</v>
      </c>
      <c r="G1216" t="s">
        <v>12</v>
      </c>
      <c r="H1216" t="s">
        <v>11</v>
      </c>
      <c r="I1216" t="s">
        <v>7</v>
      </c>
      <c r="J1216">
        <f>_xlfn.XLOOKUP(C1216,dim_BMI!$C$2:$C$7,dim_BMI!$A$2:$A$7,,1)</f>
        <v>5</v>
      </c>
      <c r="K1216" t="str">
        <f>_xlfn.XLOOKUP(C1216,dim_BMI!$C$2:$C$7,dim_BMI!$B$2:$B$7,,1)</f>
        <v>35 to 39.9 (Obesity Class 2)</v>
      </c>
    </row>
    <row r="1217" spans="1:11" x14ac:dyDescent="0.25">
      <c r="A1217" s="1">
        <v>735</v>
      </c>
      <c r="B1217">
        <v>59</v>
      </c>
      <c r="C1217">
        <v>32.1</v>
      </c>
      <c r="D1217">
        <v>3</v>
      </c>
      <c r="E1217">
        <f t="shared" si="18"/>
        <v>0</v>
      </c>
      <c r="F1217">
        <v>14007.222</v>
      </c>
      <c r="G1217" t="s">
        <v>9</v>
      </c>
      <c r="H1217" t="s">
        <v>11</v>
      </c>
      <c r="I1217" t="s">
        <v>7</v>
      </c>
      <c r="J1217">
        <f>_xlfn.XLOOKUP(C1217,dim_BMI!$C$2:$C$7,dim_BMI!$A$2:$A$7,,1)</f>
        <v>4</v>
      </c>
      <c r="K1217" t="str">
        <f>_xlfn.XLOOKUP(C1217,dim_BMI!$C$2:$C$7,dim_BMI!$B$2:$B$7,,1)</f>
        <v>30.0 to 34.9 (Obesity Class 1)</v>
      </c>
    </row>
    <row r="1218" spans="1:11" x14ac:dyDescent="0.25">
      <c r="A1218" s="1">
        <v>840</v>
      </c>
      <c r="B1218">
        <v>59</v>
      </c>
      <c r="C1218">
        <v>31.35</v>
      </c>
      <c r="D1218">
        <v>0</v>
      </c>
      <c r="E1218">
        <f t="shared" si="18"/>
        <v>0</v>
      </c>
      <c r="F1218">
        <v>12622.1795</v>
      </c>
      <c r="G1218" t="s">
        <v>13</v>
      </c>
      <c r="H1218" t="s">
        <v>11</v>
      </c>
      <c r="I1218" t="s">
        <v>7</v>
      </c>
      <c r="J1218">
        <f>_xlfn.XLOOKUP(C1218,dim_BMI!$C$2:$C$7,dim_BMI!$A$2:$A$7,,1)</f>
        <v>4</v>
      </c>
      <c r="K1218" t="str">
        <f>_xlfn.XLOOKUP(C1218,dim_BMI!$C$2:$C$7,dim_BMI!$B$2:$B$7,,1)</f>
        <v>30.0 to 34.9 (Obesity Class 1)</v>
      </c>
    </row>
    <row r="1219" spans="1:11" x14ac:dyDescent="0.25">
      <c r="A1219" s="1">
        <v>842</v>
      </c>
      <c r="B1219">
        <v>59</v>
      </c>
      <c r="C1219">
        <v>24.7</v>
      </c>
      <c r="D1219">
        <v>0</v>
      </c>
      <c r="E1219">
        <f t="shared" ref="E1219:E1282" si="19">IF(H1219="yes",1,0)</f>
        <v>0</v>
      </c>
      <c r="F1219">
        <v>12323.936</v>
      </c>
      <c r="G1219" t="s">
        <v>14</v>
      </c>
      <c r="H1219" t="s">
        <v>11</v>
      </c>
      <c r="I1219" t="s">
        <v>10</v>
      </c>
      <c r="J1219">
        <f>_xlfn.XLOOKUP(C1219,dim_BMI!$C$2:$C$7,dim_BMI!$A$2:$A$7,,1)</f>
        <v>2</v>
      </c>
      <c r="K1219" t="str">
        <f>_xlfn.XLOOKUP(C1219,dim_BMI!$C$2:$C$7,dim_BMI!$B$2:$B$7,,1)</f>
        <v>18.5 to 24.9 (Healthy Weight)</v>
      </c>
    </row>
    <row r="1220" spans="1:11" x14ac:dyDescent="0.25">
      <c r="A1220" s="1">
        <v>913</v>
      </c>
      <c r="B1220">
        <v>59</v>
      </c>
      <c r="C1220">
        <v>26.695</v>
      </c>
      <c r="D1220">
        <v>3</v>
      </c>
      <c r="E1220">
        <f t="shared" si="19"/>
        <v>0</v>
      </c>
      <c r="F1220">
        <v>14382.709049999999</v>
      </c>
      <c r="G1220" t="s">
        <v>13</v>
      </c>
      <c r="H1220" t="s">
        <v>11</v>
      </c>
      <c r="I1220" t="s">
        <v>7</v>
      </c>
      <c r="J1220">
        <f>_xlfn.XLOOKUP(C1220,dim_BMI!$C$2:$C$7,dim_BMI!$A$2:$A$7,,1)</f>
        <v>3</v>
      </c>
      <c r="K1220" t="str">
        <f>_xlfn.XLOOKUP(C1220,dim_BMI!$C$2:$C$7,dim_BMI!$B$2:$B$7,,1)</f>
        <v>25.0 to 29.9 (Overweight)</v>
      </c>
    </row>
    <row r="1221" spans="1:11" x14ac:dyDescent="0.25">
      <c r="A1221" s="1">
        <v>936</v>
      </c>
      <c r="B1221">
        <v>59</v>
      </c>
      <c r="C1221">
        <v>27.5</v>
      </c>
      <c r="D1221">
        <v>0</v>
      </c>
      <c r="E1221">
        <f t="shared" si="19"/>
        <v>0</v>
      </c>
      <c r="F1221">
        <v>12233.828</v>
      </c>
      <c r="G1221" t="s">
        <v>9</v>
      </c>
      <c r="H1221" t="s">
        <v>11</v>
      </c>
      <c r="I1221" t="s">
        <v>7</v>
      </c>
      <c r="J1221">
        <f>_xlfn.XLOOKUP(C1221,dim_BMI!$C$2:$C$7,dim_BMI!$A$2:$A$7,,1)</f>
        <v>3</v>
      </c>
      <c r="K1221" t="str">
        <f>_xlfn.XLOOKUP(C1221,dim_BMI!$C$2:$C$7,dim_BMI!$B$2:$B$7,,1)</f>
        <v>25.0 to 29.9 (Overweight)</v>
      </c>
    </row>
    <row r="1222" spans="1:11" x14ac:dyDescent="0.25">
      <c r="A1222" s="1">
        <v>1016</v>
      </c>
      <c r="B1222">
        <v>59</v>
      </c>
      <c r="C1222">
        <v>25.46</v>
      </c>
      <c r="D1222">
        <v>0</v>
      </c>
      <c r="E1222">
        <f t="shared" si="19"/>
        <v>0</v>
      </c>
      <c r="F1222">
        <v>12124.992399999999</v>
      </c>
      <c r="G1222" t="s">
        <v>13</v>
      </c>
      <c r="H1222" t="s">
        <v>11</v>
      </c>
      <c r="I1222" t="s">
        <v>10</v>
      </c>
      <c r="J1222">
        <f>_xlfn.XLOOKUP(C1222,dim_BMI!$C$2:$C$7,dim_BMI!$A$2:$A$7,,1)</f>
        <v>3</v>
      </c>
      <c r="K1222" t="str">
        <f>_xlfn.XLOOKUP(C1222,dim_BMI!$C$2:$C$7,dim_BMI!$B$2:$B$7,,1)</f>
        <v>25.0 to 29.9 (Overweight)</v>
      </c>
    </row>
    <row r="1223" spans="1:11" x14ac:dyDescent="0.25">
      <c r="A1223" s="1">
        <v>1063</v>
      </c>
      <c r="B1223">
        <v>59</v>
      </c>
      <c r="C1223">
        <v>41.14</v>
      </c>
      <c r="D1223">
        <v>1</v>
      </c>
      <c r="E1223">
        <f t="shared" si="19"/>
        <v>1</v>
      </c>
      <c r="F1223">
        <v>48970.247600000002</v>
      </c>
      <c r="G1223" t="s">
        <v>12</v>
      </c>
      <c r="H1223" t="s">
        <v>8</v>
      </c>
      <c r="I1223" t="s">
        <v>10</v>
      </c>
      <c r="J1223">
        <f>_xlfn.XLOOKUP(C1223,dim_BMI!$C$2:$C$7,dim_BMI!$A$2:$A$7,,1)</f>
        <v>6</v>
      </c>
      <c r="K1223" t="str">
        <f>_xlfn.XLOOKUP(C1223,dim_BMI!$C$2:$C$7,dim_BMI!$B$2:$B$7,,1)</f>
        <v>40 or higher (Severe Obesity Class 3)</v>
      </c>
    </row>
    <row r="1224" spans="1:11" x14ac:dyDescent="0.25">
      <c r="A1224" s="1">
        <v>1207</v>
      </c>
      <c r="B1224">
        <v>59</v>
      </c>
      <c r="C1224">
        <v>34.799999999999997</v>
      </c>
      <c r="D1224">
        <v>2</v>
      </c>
      <c r="E1224">
        <f t="shared" si="19"/>
        <v>0</v>
      </c>
      <c r="F1224">
        <v>36910.608030000003</v>
      </c>
      <c r="G1224" t="s">
        <v>9</v>
      </c>
      <c r="H1224" t="s">
        <v>11</v>
      </c>
      <c r="I1224" t="s">
        <v>7</v>
      </c>
      <c r="J1224">
        <f>_xlfn.XLOOKUP(C1224,dim_BMI!$C$2:$C$7,dim_BMI!$A$2:$A$7,,1)</f>
        <v>4</v>
      </c>
      <c r="K1224" t="str">
        <f>_xlfn.XLOOKUP(C1224,dim_BMI!$C$2:$C$7,dim_BMI!$B$2:$B$7,,1)</f>
        <v>30.0 to 34.9 (Obesity Class 1)</v>
      </c>
    </row>
    <row r="1225" spans="1:11" x14ac:dyDescent="0.25">
      <c r="A1225" s="1">
        <v>1210</v>
      </c>
      <c r="B1225">
        <v>59</v>
      </c>
      <c r="C1225">
        <v>37.1</v>
      </c>
      <c r="D1225">
        <v>1</v>
      </c>
      <c r="E1225">
        <f t="shared" si="19"/>
        <v>0</v>
      </c>
      <c r="F1225">
        <v>12347.172</v>
      </c>
      <c r="G1225" t="s">
        <v>9</v>
      </c>
      <c r="H1225" t="s">
        <v>11</v>
      </c>
      <c r="I1225" t="s">
        <v>10</v>
      </c>
      <c r="J1225">
        <f>_xlfn.XLOOKUP(C1225,dim_BMI!$C$2:$C$7,dim_BMI!$A$2:$A$7,,1)</f>
        <v>5</v>
      </c>
      <c r="K1225" t="str">
        <f>_xlfn.XLOOKUP(C1225,dim_BMI!$C$2:$C$7,dim_BMI!$B$2:$B$7,,1)</f>
        <v>35 to 39.9 (Obesity Class 2)</v>
      </c>
    </row>
    <row r="1226" spans="1:11" x14ac:dyDescent="0.25">
      <c r="A1226" s="1">
        <v>10</v>
      </c>
      <c r="B1226">
        <v>60</v>
      </c>
      <c r="C1226">
        <v>25.84</v>
      </c>
      <c r="D1226">
        <v>0</v>
      </c>
      <c r="E1226">
        <f t="shared" si="19"/>
        <v>0</v>
      </c>
      <c r="F1226">
        <v>28923.136920000001</v>
      </c>
      <c r="G1226" t="s">
        <v>13</v>
      </c>
      <c r="H1226" t="s">
        <v>11</v>
      </c>
      <c r="I1226" t="s">
        <v>7</v>
      </c>
      <c r="J1226">
        <f>_xlfn.XLOOKUP(C1226,dim_BMI!$C$2:$C$7,dim_BMI!$A$2:$A$7,,1)</f>
        <v>3</v>
      </c>
      <c r="K1226" t="str">
        <f>_xlfn.XLOOKUP(C1226,dim_BMI!$C$2:$C$7,dim_BMI!$B$2:$B$7,,1)</f>
        <v>25.0 to 29.9 (Overweight)</v>
      </c>
    </row>
    <row r="1227" spans="1:11" x14ac:dyDescent="0.25">
      <c r="A1227" s="1">
        <v>21</v>
      </c>
      <c r="B1227">
        <v>60</v>
      </c>
      <c r="C1227">
        <v>36.005000000000003</v>
      </c>
      <c r="D1227">
        <v>0</v>
      </c>
      <c r="E1227">
        <f t="shared" si="19"/>
        <v>0</v>
      </c>
      <c r="F1227">
        <v>13228.846949999999</v>
      </c>
      <c r="G1227" t="s">
        <v>14</v>
      </c>
      <c r="H1227" t="s">
        <v>11</v>
      </c>
      <c r="I1227" t="s">
        <v>7</v>
      </c>
      <c r="J1227">
        <f>_xlfn.XLOOKUP(C1227,dim_BMI!$C$2:$C$7,dim_BMI!$A$2:$A$7,,1)</f>
        <v>5</v>
      </c>
      <c r="K1227" t="str">
        <f>_xlfn.XLOOKUP(C1227,dim_BMI!$C$2:$C$7,dim_BMI!$B$2:$B$7,,1)</f>
        <v>35 to 39.9 (Obesity Class 2)</v>
      </c>
    </row>
    <row r="1228" spans="1:11" x14ac:dyDescent="0.25">
      <c r="A1228" s="1">
        <v>40</v>
      </c>
      <c r="B1228">
        <v>60</v>
      </c>
      <c r="C1228">
        <v>39.9</v>
      </c>
      <c r="D1228">
        <v>0</v>
      </c>
      <c r="E1228">
        <f t="shared" si="19"/>
        <v>1</v>
      </c>
      <c r="F1228">
        <v>48173.360999999997</v>
      </c>
      <c r="G1228" t="s">
        <v>9</v>
      </c>
      <c r="H1228" t="s">
        <v>8</v>
      </c>
      <c r="I1228" t="s">
        <v>10</v>
      </c>
      <c r="J1228">
        <f>_xlfn.XLOOKUP(C1228,dim_BMI!$C$2:$C$7,dim_BMI!$A$2:$A$7,,1)</f>
        <v>5</v>
      </c>
      <c r="K1228" t="str">
        <f>_xlfn.XLOOKUP(C1228,dim_BMI!$C$2:$C$7,dim_BMI!$B$2:$B$7,,1)</f>
        <v>35 to 39.9 (Obesity Class 2)</v>
      </c>
    </row>
    <row r="1229" spans="1:11" x14ac:dyDescent="0.25">
      <c r="A1229" s="1">
        <v>49</v>
      </c>
      <c r="B1229">
        <v>60</v>
      </c>
      <c r="C1229">
        <v>24.53</v>
      </c>
      <c r="D1229">
        <v>0</v>
      </c>
      <c r="E1229">
        <f t="shared" si="19"/>
        <v>0</v>
      </c>
      <c r="F1229">
        <v>12629.896699999999</v>
      </c>
      <c r="G1229" t="s">
        <v>12</v>
      </c>
      <c r="H1229" t="s">
        <v>11</v>
      </c>
      <c r="I1229" t="s">
        <v>7</v>
      </c>
      <c r="J1229">
        <f>_xlfn.XLOOKUP(C1229,dim_BMI!$C$2:$C$7,dim_BMI!$A$2:$A$7,,1)</f>
        <v>2</v>
      </c>
      <c r="K1229" t="str">
        <f>_xlfn.XLOOKUP(C1229,dim_BMI!$C$2:$C$7,dim_BMI!$B$2:$B$7,,1)</f>
        <v>18.5 to 24.9 (Healthy Weight)</v>
      </c>
    </row>
    <row r="1230" spans="1:11" x14ac:dyDescent="0.25">
      <c r="A1230" s="1">
        <v>116</v>
      </c>
      <c r="B1230">
        <v>60</v>
      </c>
      <c r="C1230">
        <v>28.594999999999999</v>
      </c>
      <c r="D1230">
        <v>0</v>
      </c>
      <c r="E1230">
        <f t="shared" si="19"/>
        <v>0</v>
      </c>
      <c r="F1230">
        <v>30259.995559999999</v>
      </c>
      <c r="G1230" t="s">
        <v>14</v>
      </c>
      <c r="H1230" t="s">
        <v>11</v>
      </c>
      <c r="I1230" t="s">
        <v>10</v>
      </c>
      <c r="J1230">
        <f>_xlfn.XLOOKUP(C1230,dim_BMI!$C$2:$C$7,dim_BMI!$A$2:$A$7,,1)</f>
        <v>3</v>
      </c>
      <c r="K1230" t="str">
        <f>_xlfn.XLOOKUP(C1230,dim_BMI!$C$2:$C$7,dim_BMI!$B$2:$B$7,,1)</f>
        <v>25.0 to 29.9 (Overweight)</v>
      </c>
    </row>
    <row r="1231" spans="1:11" x14ac:dyDescent="0.25">
      <c r="A1231" s="1">
        <v>203</v>
      </c>
      <c r="B1231">
        <v>60</v>
      </c>
      <c r="C1231">
        <v>24.035</v>
      </c>
      <c r="D1231">
        <v>0</v>
      </c>
      <c r="E1231">
        <f t="shared" si="19"/>
        <v>0</v>
      </c>
      <c r="F1231">
        <v>13012.20865</v>
      </c>
      <c r="G1231" t="s">
        <v>13</v>
      </c>
      <c r="H1231" t="s">
        <v>11</v>
      </c>
      <c r="I1231" t="s">
        <v>7</v>
      </c>
      <c r="J1231">
        <f>_xlfn.XLOOKUP(C1231,dim_BMI!$C$2:$C$7,dim_BMI!$A$2:$A$7,,1)</f>
        <v>2</v>
      </c>
      <c r="K1231" t="str">
        <f>_xlfn.XLOOKUP(C1231,dim_BMI!$C$2:$C$7,dim_BMI!$B$2:$B$7,,1)</f>
        <v>18.5 to 24.9 (Healthy Weight)</v>
      </c>
    </row>
    <row r="1232" spans="1:11" x14ac:dyDescent="0.25">
      <c r="A1232" s="1">
        <v>247</v>
      </c>
      <c r="B1232">
        <v>60</v>
      </c>
      <c r="C1232">
        <v>38.06</v>
      </c>
      <c r="D1232">
        <v>0</v>
      </c>
      <c r="E1232">
        <f t="shared" si="19"/>
        <v>0</v>
      </c>
      <c r="F1232">
        <v>12648.7034</v>
      </c>
      <c r="G1232" t="s">
        <v>12</v>
      </c>
      <c r="H1232" t="s">
        <v>11</v>
      </c>
      <c r="I1232" t="s">
        <v>7</v>
      </c>
      <c r="J1232">
        <f>_xlfn.XLOOKUP(C1232,dim_BMI!$C$2:$C$7,dim_BMI!$A$2:$A$7,,1)</f>
        <v>5</v>
      </c>
      <c r="K1232" t="str">
        <f>_xlfn.XLOOKUP(C1232,dim_BMI!$C$2:$C$7,dim_BMI!$B$2:$B$7,,1)</f>
        <v>35 to 39.9 (Obesity Class 2)</v>
      </c>
    </row>
    <row r="1233" spans="1:11" x14ac:dyDescent="0.25">
      <c r="A1233" s="1">
        <v>337</v>
      </c>
      <c r="B1233">
        <v>60</v>
      </c>
      <c r="C1233">
        <v>25.74</v>
      </c>
      <c r="D1233">
        <v>0</v>
      </c>
      <c r="E1233">
        <f t="shared" si="19"/>
        <v>0</v>
      </c>
      <c r="F1233">
        <v>12142.578600000001</v>
      </c>
      <c r="G1233" t="s">
        <v>12</v>
      </c>
      <c r="H1233" t="s">
        <v>11</v>
      </c>
      <c r="I1233" t="s">
        <v>10</v>
      </c>
      <c r="J1233">
        <f>_xlfn.XLOOKUP(C1233,dim_BMI!$C$2:$C$7,dim_BMI!$A$2:$A$7,,1)</f>
        <v>3</v>
      </c>
      <c r="K1233" t="str">
        <f>_xlfn.XLOOKUP(C1233,dim_BMI!$C$2:$C$7,dim_BMI!$B$2:$B$7,,1)</f>
        <v>25.0 to 29.9 (Overweight)</v>
      </c>
    </row>
    <row r="1234" spans="1:11" x14ac:dyDescent="0.25">
      <c r="A1234" s="1">
        <v>343</v>
      </c>
      <c r="B1234">
        <v>60</v>
      </c>
      <c r="C1234">
        <v>27.55</v>
      </c>
      <c r="D1234">
        <v>0</v>
      </c>
      <c r="E1234">
        <f t="shared" si="19"/>
        <v>0</v>
      </c>
      <c r="F1234">
        <v>13217.094499999999</v>
      </c>
      <c r="G1234" t="s">
        <v>14</v>
      </c>
      <c r="H1234" t="s">
        <v>11</v>
      </c>
      <c r="I1234" t="s">
        <v>7</v>
      </c>
      <c r="J1234">
        <f>_xlfn.XLOOKUP(C1234,dim_BMI!$C$2:$C$7,dim_BMI!$A$2:$A$7,,1)</f>
        <v>3</v>
      </c>
      <c r="K1234" t="str">
        <f>_xlfn.XLOOKUP(C1234,dim_BMI!$C$2:$C$7,dim_BMI!$B$2:$B$7,,1)</f>
        <v>25.0 to 29.9 (Overweight)</v>
      </c>
    </row>
    <row r="1235" spans="1:11" x14ac:dyDescent="0.25">
      <c r="A1235" s="1">
        <v>434</v>
      </c>
      <c r="B1235">
        <v>60</v>
      </c>
      <c r="C1235">
        <v>30.5</v>
      </c>
      <c r="D1235">
        <v>0</v>
      </c>
      <c r="E1235">
        <f t="shared" si="19"/>
        <v>0</v>
      </c>
      <c r="F1235">
        <v>12638.195</v>
      </c>
      <c r="G1235" t="s">
        <v>9</v>
      </c>
      <c r="H1235" t="s">
        <v>11</v>
      </c>
      <c r="I1235" t="s">
        <v>7</v>
      </c>
      <c r="J1235">
        <f>_xlfn.XLOOKUP(C1235,dim_BMI!$C$2:$C$7,dim_BMI!$A$2:$A$7,,1)</f>
        <v>4</v>
      </c>
      <c r="K1235" t="str">
        <f>_xlfn.XLOOKUP(C1235,dim_BMI!$C$2:$C$7,dim_BMI!$B$2:$B$7,,1)</f>
        <v>30.0 to 34.9 (Obesity Class 1)</v>
      </c>
    </row>
    <row r="1236" spans="1:11" x14ac:dyDescent="0.25">
      <c r="A1236" s="1">
        <v>436</v>
      </c>
      <c r="B1236">
        <v>60</v>
      </c>
      <c r="C1236">
        <v>33.11</v>
      </c>
      <c r="D1236">
        <v>3</v>
      </c>
      <c r="E1236">
        <f t="shared" si="19"/>
        <v>0</v>
      </c>
      <c r="F1236">
        <v>13919.822899999999</v>
      </c>
      <c r="G1236" t="s">
        <v>12</v>
      </c>
      <c r="H1236" t="s">
        <v>11</v>
      </c>
      <c r="I1236" t="s">
        <v>10</v>
      </c>
      <c r="J1236">
        <f>_xlfn.XLOOKUP(C1236,dim_BMI!$C$2:$C$7,dim_BMI!$A$2:$A$7,,1)</f>
        <v>4</v>
      </c>
      <c r="K1236" t="str">
        <f>_xlfn.XLOOKUP(C1236,dim_BMI!$C$2:$C$7,dim_BMI!$B$2:$B$7,,1)</f>
        <v>30.0 to 34.9 (Obesity Class 1)</v>
      </c>
    </row>
    <row r="1237" spans="1:11" x14ac:dyDescent="0.25">
      <c r="A1237" s="1">
        <v>447</v>
      </c>
      <c r="B1237">
        <v>60</v>
      </c>
      <c r="C1237">
        <v>29.64</v>
      </c>
      <c r="D1237">
        <v>0</v>
      </c>
      <c r="E1237">
        <f t="shared" si="19"/>
        <v>0</v>
      </c>
      <c r="F1237">
        <v>12730.999599999999</v>
      </c>
      <c r="G1237" t="s">
        <v>14</v>
      </c>
      <c r="H1237" t="s">
        <v>11</v>
      </c>
      <c r="I1237" t="s">
        <v>10</v>
      </c>
      <c r="J1237">
        <f>_xlfn.XLOOKUP(C1237,dim_BMI!$C$2:$C$7,dim_BMI!$A$2:$A$7,,1)</f>
        <v>3</v>
      </c>
      <c r="K1237" t="str">
        <f>_xlfn.XLOOKUP(C1237,dim_BMI!$C$2:$C$7,dim_BMI!$B$2:$B$7,,1)</f>
        <v>25.0 to 29.9 (Overweight)</v>
      </c>
    </row>
    <row r="1238" spans="1:11" x14ac:dyDescent="0.25">
      <c r="A1238" s="1">
        <v>467</v>
      </c>
      <c r="B1238">
        <v>60</v>
      </c>
      <c r="C1238">
        <v>28.7</v>
      </c>
      <c r="D1238">
        <v>1</v>
      </c>
      <c r="E1238">
        <f t="shared" si="19"/>
        <v>0</v>
      </c>
      <c r="F1238">
        <v>13224.692999999999</v>
      </c>
      <c r="G1238" t="s">
        <v>9</v>
      </c>
      <c r="H1238" t="s">
        <v>11</v>
      </c>
      <c r="I1238" t="s">
        <v>7</v>
      </c>
      <c r="J1238">
        <f>_xlfn.XLOOKUP(C1238,dim_BMI!$C$2:$C$7,dim_BMI!$A$2:$A$7,,1)</f>
        <v>3</v>
      </c>
      <c r="K1238" t="str">
        <f>_xlfn.XLOOKUP(C1238,dim_BMI!$C$2:$C$7,dim_BMI!$B$2:$B$7,,1)</f>
        <v>25.0 to 29.9 (Overweight)</v>
      </c>
    </row>
    <row r="1239" spans="1:11" x14ac:dyDescent="0.25">
      <c r="A1239" s="1">
        <v>678</v>
      </c>
      <c r="B1239">
        <v>60</v>
      </c>
      <c r="C1239">
        <v>31.35</v>
      </c>
      <c r="D1239">
        <v>3</v>
      </c>
      <c r="E1239">
        <f t="shared" si="19"/>
        <v>1</v>
      </c>
      <c r="F1239">
        <v>46130.5265</v>
      </c>
      <c r="G1239" t="s">
        <v>13</v>
      </c>
      <c r="H1239" t="s">
        <v>8</v>
      </c>
      <c r="I1239" t="s">
        <v>10</v>
      </c>
      <c r="J1239">
        <f>_xlfn.XLOOKUP(C1239,dim_BMI!$C$2:$C$7,dim_BMI!$A$2:$A$7,,1)</f>
        <v>4</v>
      </c>
      <c r="K1239" t="str">
        <f>_xlfn.XLOOKUP(C1239,dim_BMI!$C$2:$C$7,dim_BMI!$B$2:$B$7,,1)</f>
        <v>30.0 to 34.9 (Obesity Class 1)</v>
      </c>
    </row>
    <row r="1240" spans="1:11" x14ac:dyDescent="0.25">
      <c r="A1240" s="1">
        <v>716</v>
      </c>
      <c r="B1240">
        <v>60</v>
      </c>
      <c r="C1240">
        <v>28.9</v>
      </c>
      <c r="D1240">
        <v>0</v>
      </c>
      <c r="E1240">
        <f t="shared" si="19"/>
        <v>0</v>
      </c>
      <c r="F1240">
        <v>12146.971</v>
      </c>
      <c r="G1240" t="s">
        <v>9</v>
      </c>
      <c r="H1240" t="s">
        <v>11</v>
      </c>
      <c r="I1240" t="s">
        <v>10</v>
      </c>
      <c r="J1240">
        <f>_xlfn.XLOOKUP(C1240,dim_BMI!$C$2:$C$7,dim_BMI!$A$2:$A$7,,1)</f>
        <v>3</v>
      </c>
      <c r="K1240" t="str">
        <f>_xlfn.XLOOKUP(C1240,dim_BMI!$C$2:$C$7,dim_BMI!$B$2:$B$7,,1)</f>
        <v>25.0 to 29.9 (Overweight)</v>
      </c>
    </row>
    <row r="1241" spans="1:11" x14ac:dyDescent="0.25">
      <c r="A1241" s="1">
        <v>718</v>
      </c>
      <c r="B1241">
        <v>60</v>
      </c>
      <c r="C1241">
        <v>24.32</v>
      </c>
      <c r="D1241">
        <v>1</v>
      </c>
      <c r="E1241">
        <f t="shared" si="19"/>
        <v>0</v>
      </c>
      <c r="F1241">
        <v>13112.604799999999</v>
      </c>
      <c r="G1241" t="s">
        <v>13</v>
      </c>
      <c r="H1241" t="s">
        <v>11</v>
      </c>
      <c r="I1241" t="s">
        <v>10</v>
      </c>
      <c r="J1241">
        <f>_xlfn.XLOOKUP(C1241,dim_BMI!$C$2:$C$7,dim_BMI!$A$2:$A$7,,1)</f>
        <v>2</v>
      </c>
      <c r="K1241" t="str">
        <f>_xlfn.XLOOKUP(C1241,dim_BMI!$C$2:$C$7,dim_BMI!$B$2:$B$7,,1)</f>
        <v>18.5 to 24.9 (Healthy Weight)</v>
      </c>
    </row>
    <row r="1242" spans="1:11" x14ac:dyDescent="0.25">
      <c r="A1242" s="1">
        <v>787</v>
      </c>
      <c r="B1242">
        <v>60</v>
      </c>
      <c r="C1242">
        <v>36.954999999999998</v>
      </c>
      <c r="D1242">
        <v>0</v>
      </c>
      <c r="E1242">
        <f t="shared" si="19"/>
        <v>0</v>
      </c>
      <c r="F1242">
        <v>12741.167450000001</v>
      </c>
      <c r="G1242" t="s">
        <v>14</v>
      </c>
      <c r="H1242" t="s">
        <v>11</v>
      </c>
      <c r="I1242" t="s">
        <v>10</v>
      </c>
      <c r="J1242">
        <f>_xlfn.XLOOKUP(C1242,dim_BMI!$C$2:$C$7,dim_BMI!$A$2:$A$7,,1)</f>
        <v>5</v>
      </c>
      <c r="K1242" t="str">
        <f>_xlfn.XLOOKUP(C1242,dim_BMI!$C$2:$C$7,dim_BMI!$B$2:$B$7,,1)</f>
        <v>35 to 39.9 (Obesity Class 2)</v>
      </c>
    </row>
    <row r="1243" spans="1:11" x14ac:dyDescent="0.25">
      <c r="A1243" s="1">
        <v>825</v>
      </c>
      <c r="B1243">
        <v>60</v>
      </c>
      <c r="C1243">
        <v>24.32</v>
      </c>
      <c r="D1243">
        <v>0</v>
      </c>
      <c r="E1243">
        <f t="shared" si="19"/>
        <v>0</v>
      </c>
      <c r="F1243">
        <v>12523.604799999999</v>
      </c>
      <c r="G1243" t="s">
        <v>13</v>
      </c>
      <c r="H1243" t="s">
        <v>11</v>
      </c>
      <c r="I1243" t="s">
        <v>10</v>
      </c>
      <c r="J1243">
        <f>_xlfn.XLOOKUP(C1243,dim_BMI!$C$2:$C$7,dim_BMI!$A$2:$A$7,,1)</f>
        <v>2</v>
      </c>
      <c r="K1243" t="str">
        <f>_xlfn.XLOOKUP(C1243,dim_BMI!$C$2:$C$7,dim_BMI!$B$2:$B$7,,1)</f>
        <v>18.5 to 24.9 (Healthy Weight)</v>
      </c>
    </row>
    <row r="1244" spans="1:11" x14ac:dyDescent="0.25">
      <c r="A1244" s="1">
        <v>846</v>
      </c>
      <c r="B1244">
        <v>60</v>
      </c>
      <c r="C1244">
        <v>32.450000000000003</v>
      </c>
      <c r="D1244">
        <v>0</v>
      </c>
      <c r="E1244">
        <f t="shared" si="19"/>
        <v>1</v>
      </c>
      <c r="F1244">
        <v>45008.955499999996</v>
      </c>
      <c r="G1244" t="s">
        <v>12</v>
      </c>
      <c r="H1244" t="s">
        <v>8</v>
      </c>
      <c r="I1244" t="s">
        <v>7</v>
      </c>
      <c r="J1244">
        <f>_xlfn.XLOOKUP(C1244,dim_BMI!$C$2:$C$7,dim_BMI!$A$2:$A$7,,1)</f>
        <v>4</v>
      </c>
      <c r="K1244" t="str">
        <f>_xlfn.XLOOKUP(C1244,dim_BMI!$C$2:$C$7,dim_BMI!$B$2:$B$7,,1)</f>
        <v>30.0 to 34.9 (Obesity Class 1)</v>
      </c>
    </row>
    <row r="1245" spans="1:11" x14ac:dyDescent="0.25">
      <c r="A1245" s="1">
        <v>902</v>
      </c>
      <c r="B1245">
        <v>60</v>
      </c>
      <c r="C1245">
        <v>40.92</v>
      </c>
      <c r="D1245">
        <v>0</v>
      </c>
      <c r="E1245">
        <f t="shared" si="19"/>
        <v>1</v>
      </c>
      <c r="F1245">
        <v>48673.558799999999</v>
      </c>
      <c r="G1245" t="s">
        <v>12</v>
      </c>
      <c r="H1245" t="s">
        <v>8</v>
      </c>
      <c r="I1245" t="s">
        <v>10</v>
      </c>
      <c r="J1245">
        <f>_xlfn.XLOOKUP(C1245,dim_BMI!$C$2:$C$7,dim_BMI!$A$2:$A$7,,1)</f>
        <v>6</v>
      </c>
      <c r="K1245" t="str">
        <f>_xlfn.XLOOKUP(C1245,dim_BMI!$C$2:$C$7,dim_BMI!$B$2:$B$7,,1)</f>
        <v>40 or higher (Severe Obesity Class 3)</v>
      </c>
    </row>
    <row r="1246" spans="1:11" x14ac:dyDescent="0.25">
      <c r="A1246" s="1">
        <v>905</v>
      </c>
      <c r="B1246">
        <v>60</v>
      </c>
      <c r="C1246">
        <v>35.1</v>
      </c>
      <c r="D1246">
        <v>0</v>
      </c>
      <c r="E1246">
        <f t="shared" si="19"/>
        <v>0</v>
      </c>
      <c r="F1246">
        <v>12644.589</v>
      </c>
      <c r="G1246" t="s">
        <v>9</v>
      </c>
      <c r="H1246" t="s">
        <v>11</v>
      </c>
      <c r="I1246" t="s">
        <v>7</v>
      </c>
      <c r="J1246">
        <f>_xlfn.XLOOKUP(C1246,dim_BMI!$C$2:$C$7,dim_BMI!$A$2:$A$7,,1)</f>
        <v>5</v>
      </c>
      <c r="K1246" t="str">
        <f>_xlfn.XLOOKUP(C1246,dim_BMI!$C$2:$C$7,dim_BMI!$B$2:$B$7,,1)</f>
        <v>35 to 39.9 (Obesity Class 2)</v>
      </c>
    </row>
    <row r="1247" spans="1:11" x14ac:dyDescent="0.25">
      <c r="A1247" s="1">
        <v>1075</v>
      </c>
      <c r="B1247">
        <v>60</v>
      </c>
      <c r="C1247">
        <v>18.335000000000001</v>
      </c>
      <c r="D1247">
        <v>0</v>
      </c>
      <c r="E1247">
        <f t="shared" si="19"/>
        <v>0</v>
      </c>
      <c r="F1247">
        <v>13204.28565</v>
      </c>
      <c r="G1247" t="s">
        <v>14</v>
      </c>
      <c r="H1247" t="s">
        <v>11</v>
      </c>
      <c r="I1247" t="s">
        <v>7</v>
      </c>
      <c r="J1247">
        <f>_xlfn.XLOOKUP(C1247,dim_BMI!$C$2:$C$7,dim_BMI!$A$2:$A$7,,1)</f>
        <v>1</v>
      </c>
      <c r="K1247" t="str">
        <f>_xlfn.XLOOKUP(C1247,dim_BMI!$C$2:$C$7,dim_BMI!$B$2:$B$7,,1)</f>
        <v>18.49 or less (Underweight)</v>
      </c>
    </row>
    <row r="1248" spans="1:11" x14ac:dyDescent="0.25">
      <c r="A1248" s="1">
        <v>1147</v>
      </c>
      <c r="B1248">
        <v>60</v>
      </c>
      <c r="C1248">
        <v>32.799999999999997</v>
      </c>
      <c r="D1248">
        <v>0</v>
      </c>
      <c r="E1248">
        <f t="shared" si="19"/>
        <v>1</v>
      </c>
      <c r="F1248">
        <v>52590.829389999999</v>
      </c>
      <c r="G1248" t="s">
        <v>9</v>
      </c>
      <c r="H1248" t="s">
        <v>8</v>
      </c>
      <c r="I1248" t="s">
        <v>10</v>
      </c>
      <c r="J1248">
        <f>_xlfn.XLOOKUP(C1248,dim_BMI!$C$2:$C$7,dim_BMI!$A$2:$A$7,,1)</f>
        <v>4</v>
      </c>
      <c r="K1248" t="str">
        <f>_xlfn.XLOOKUP(C1248,dim_BMI!$C$2:$C$7,dim_BMI!$B$2:$B$7,,1)</f>
        <v>30.0 to 34.9 (Obesity Class 1)</v>
      </c>
    </row>
    <row r="1249" spans="1:11" x14ac:dyDescent="0.25">
      <c r="A1249" s="1">
        <v>67</v>
      </c>
      <c r="B1249">
        <v>61</v>
      </c>
      <c r="C1249">
        <v>39.1</v>
      </c>
      <c r="D1249">
        <v>2</v>
      </c>
      <c r="E1249">
        <f t="shared" si="19"/>
        <v>0</v>
      </c>
      <c r="F1249">
        <v>14235.072</v>
      </c>
      <c r="G1249" t="s">
        <v>9</v>
      </c>
      <c r="H1249" t="s">
        <v>11</v>
      </c>
      <c r="I1249" t="s">
        <v>7</v>
      </c>
      <c r="J1249">
        <f>_xlfn.XLOOKUP(C1249,dim_BMI!$C$2:$C$7,dim_BMI!$A$2:$A$7,,1)</f>
        <v>5</v>
      </c>
      <c r="K1249" t="str">
        <f>_xlfn.XLOOKUP(C1249,dim_BMI!$C$2:$C$7,dim_BMI!$B$2:$B$7,,1)</f>
        <v>35 to 39.9 (Obesity Class 2)</v>
      </c>
    </row>
    <row r="1250" spans="1:11" x14ac:dyDescent="0.25">
      <c r="A1250" s="1">
        <v>104</v>
      </c>
      <c r="B1250">
        <v>61</v>
      </c>
      <c r="C1250">
        <v>29.92</v>
      </c>
      <c r="D1250">
        <v>3</v>
      </c>
      <c r="E1250">
        <f t="shared" si="19"/>
        <v>1</v>
      </c>
      <c r="F1250">
        <v>30942.191800000001</v>
      </c>
      <c r="G1250" t="s">
        <v>12</v>
      </c>
      <c r="H1250" t="s">
        <v>8</v>
      </c>
      <c r="I1250" t="s">
        <v>7</v>
      </c>
      <c r="J1250">
        <f>_xlfn.XLOOKUP(C1250,dim_BMI!$C$2:$C$7,dim_BMI!$A$2:$A$7,,1)</f>
        <v>4</v>
      </c>
      <c r="K1250" t="str">
        <f>_xlfn.XLOOKUP(C1250,dim_BMI!$C$2:$C$7,dim_BMI!$B$2:$B$7,,1)</f>
        <v>30.0 to 34.9 (Obesity Class 1)</v>
      </c>
    </row>
    <row r="1251" spans="1:11" x14ac:dyDescent="0.25">
      <c r="A1251" s="1">
        <v>132</v>
      </c>
      <c r="B1251">
        <v>61</v>
      </c>
      <c r="C1251">
        <v>22.04</v>
      </c>
      <c r="D1251">
        <v>0</v>
      </c>
      <c r="E1251">
        <f t="shared" si="19"/>
        <v>0</v>
      </c>
      <c r="F1251">
        <v>13616.3586</v>
      </c>
      <c r="G1251" t="s">
        <v>14</v>
      </c>
      <c r="H1251" t="s">
        <v>11</v>
      </c>
      <c r="I1251" t="s">
        <v>7</v>
      </c>
      <c r="J1251">
        <f>_xlfn.XLOOKUP(C1251,dim_BMI!$C$2:$C$7,dim_BMI!$A$2:$A$7,,1)</f>
        <v>2</v>
      </c>
      <c r="K1251" t="str">
        <f>_xlfn.XLOOKUP(C1251,dim_BMI!$C$2:$C$7,dim_BMI!$B$2:$B$7,,1)</f>
        <v>18.5 to 24.9 (Healthy Weight)</v>
      </c>
    </row>
    <row r="1252" spans="1:11" x14ac:dyDescent="0.25">
      <c r="A1252" s="1">
        <v>191</v>
      </c>
      <c r="B1252">
        <v>61</v>
      </c>
      <c r="C1252">
        <v>31.57</v>
      </c>
      <c r="D1252">
        <v>0</v>
      </c>
      <c r="E1252">
        <f t="shared" si="19"/>
        <v>0</v>
      </c>
      <c r="F1252">
        <v>12557.605299999999</v>
      </c>
      <c r="G1252" t="s">
        <v>12</v>
      </c>
      <c r="H1252" t="s">
        <v>11</v>
      </c>
      <c r="I1252" t="s">
        <v>10</v>
      </c>
      <c r="J1252">
        <f>_xlfn.XLOOKUP(C1252,dim_BMI!$C$2:$C$7,dim_BMI!$A$2:$A$7,,1)</f>
        <v>4</v>
      </c>
      <c r="K1252" t="str">
        <f>_xlfn.XLOOKUP(C1252,dim_BMI!$C$2:$C$7,dim_BMI!$B$2:$B$7,,1)</f>
        <v>30.0 to 34.9 (Obesity Class 1)</v>
      </c>
    </row>
    <row r="1253" spans="1:11" x14ac:dyDescent="0.25">
      <c r="A1253" s="1">
        <v>331</v>
      </c>
      <c r="B1253">
        <v>61</v>
      </c>
      <c r="C1253">
        <v>36.384999999999998</v>
      </c>
      <c r="D1253">
        <v>1</v>
      </c>
      <c r="E1253">
        <f t="shared" si="19"/>
        <v>1</v>
      </c>
      <c r="F1253">
        <v>48517.563150000002</v>
      </c>
      <c r="G1253" t="s">
        <v>14</v>
      </c>
      <c r="H1253" t="s">
        <v>8</v>
      </c>
      <c r="I1253" t="s">
        <v>7</v>
      </c>
      <c r="J1253">
        <f>_xlfn.XLOOKUP(C1253,dim_BMI!$C$2:$C$7,dim_BMI!$A$2:$A$7,,1)</f>
        <v>5</v>
      </c>
      <c r="K1253" t="str">
        <f>_xlfn.XLOOKUP(C1253,dim_BMI!$C$2:$C$7,dim_BMI!$B$2:$B$7,,1)</f>
        <v>35 to 39.9 (Obesity Class 2)</v>
      </c>
    </row>
    <row r="1254" spans="1:11" x14ac:dyDescent="0.25">
      <c r="A1254" s="1">
        <v>333</v>
      </c>
      <c r="B1254">
        <v>61</v>
      </c>
      <c r="C1254">
        <v>31.16</v>
      </c>
      <c r="D1254">
        <v>0</v>
      </c>
      <c r="E1254">
        <f t="shared" si="19"/>
        <v>0</v>
      </c>
      <c r="F1254">
        <v>13429.035400000001</v>
      </c>
      <c r="G1254" t="s">
        <v>13</v>
      </c>
      <c r="H1254" t="s">
        <v>11</v>
      </c>
      <c r="I1254" t="s">
        <v>7</v>
      </c>
      <c r="J1254">
        <f>_xlfn.XLOOKUP(C1254,dim_BMI!$C$2:$C$7,dim_BMI!$A$2:$A$7,,1)</f>
        <v>4</v>
      </c>
      <c r="K1254" t="str">
        <f>_xlfn.XLOOKUP(C1254,dim_BMI!$C$2:$C$7,dim_BMI!$B$2:$B$7,,1)</f>
        <v>30.0 to 34.9 (Obesity Class 1)</v>
      </c>
    </row>
    <row r="1255" spans="1:11" x14ac:dyDescent="0.25">
      <c r="A1255" s="1">
        <v>371</v>
      </c>
      <c r="B1255">
        <v>61</v>
      </c>
      <c r="C1255">
        <v>21.09</v>
      </c>
      <c r="D1255">
        <v>0</v>
      </c>
      <c r="E1255">
        <f t="shared" si="19"/>
        <v>0</v>
      </c>
      <c r="F1255">
        <v>13415.0381</v>
      </c>
      <c r="G1255" t="s">
        <v>13</v>
      </c>
      <c r="H1255" t="s">
        <v>11</v>
      </c>
      <c r="I1255" t="s">
        <v>7</v>
      </c>
      <c r="J1255">
        <f>_xlfn.XLOOKUP(C1255,dim_BMI!$C$2:$C$7,dim_BMI!$A$2:$A$7,,1)</f>
        <v>2</v>
      </c>
      <c r="K1255" t="str">
        <f>_xlfn.XLOOKUP(C1255,dim_BMI!$C$2:$C$7,dim_BMI!$B$2:$B$7,,1)</f>
        <v>18.5 to 24.9 (Healthy Weight)</v>
      </c>
    </row>
    <row r="1256" spans="1:11" x14ac:dyDescent="0.25">
      <c r="A1256" s="1">
        <v>422</v>
      </c>
      <c r="B1256">
        <v>61</v>
      </c>
      <c r="C1256">
        <v>35.86</v>
      </c>
      <c r="D1256">
        <v>0</v>
      </c>
      <c r="E1256">
        <f t="shared" si="19"/>
        <v>1</v>
      </c>
      <c r="F1256">
        <v>46599.108399999997</v>
      </c>
      <c r="G1256" t="s">
        <v>12</v>
      </c>
      <c r="H1256" t="s">
        <v>8</v>
      </c>
      <c r="I1256" t="s">
        <v>10</v>
      </c>
      <c r="J1256">
        <f>_xlfn.XLOOKUP(C1256,dim_BMI!$C$2:$C$7,dim_BMI!$A$2:$A$7,,1)</f>
        <v>5</v>
      </c>
      <c r="K1256" t="str">
        <f>_xlfn.XLOOKUP(C1256,dim_BMI!$C$2:$C$7,dim_BMI!$B$2:$B$7,,1)</f>
        <v>35 to 39.9 (Obesity Class 2)</v>
      </c>
    </row>
    <row r="1257" spans="1:11" x14ac:dyDescent="0.25">
      <c r="A1257" s="1">
        <v>476</v>
      </c>
      <c r="B1257">
        <v>61</v>
      </c>
      <c r="C1257">
        <v>28.31</v>
      </c>
      <c r="D1257">
        <v>1</v>
      </c>
      <c r="E1257">
        <f t="shared" si="19"/>
        <v>1</v>
      </c>
      <c r="F1257">
        <v>28868.6639</v>
      </c>
      <c r="G1257" t="s">
        <v>13</v>
      </c>
      <c r="H1257" t="s">
        <v>8</v>
      </c>
      <c r="I1257" t="s">
        <v>10</v>
      </c>
      <c r="J1257">
        <f>_xlfn.XLOOKUP(C1257,dim_BMI!$C$2:$C$7,dim_BMI!$A$2:$A$7,,1)</f>
        <v>3</v>
      </c>
      <c r="K1257" t="str">
        <f>_xlfn.XLOOKUP(C1257,dim_BMI!$C$2:$C$7,dim_BMI!$B$2:$B$7,,1)</f>
        <v>25.0 to 29.9 (Overweight)</v>
      </c>
    </row>
    <row r="1258" spans="1:11" x14ac:dyDescent="0.25">
      <c r="A1258" s="1">
        <v>492</v>
      </c>
      <c r="B1258">
        <v>61</v>
      </c>
      <c r="C1258">
        <v>25.08</v>
      </c>
      <c r="D1258">
        <v>0</v>
      </c>
      <c r="E1258">
        <f t="shared" si="19"/>
        <v>0</v>
      </c>
      <c r="F1258">
        <v>24513.091260000001</v>
      </c>
      <c r="G1258" t="s">
        <v>12</v>
      </c>
      <c r="H1258" t="s">
        <v>11</v>
      </c>
      <c r="I1258" t="s">
        <v>7</v>
      </c>
      <c r="J1258">
        <f>_xlfn.XLOOKUP(C1258,dim_BMI!$C$2:$C$7,dim_BMI!$A$2:$A$7,,1)</f>
        <v>3</v>
      </c>
      <c r="K1258" t="str">
        <f>_xlfn.XLOOKUP(C1258,dim_BMI!$C$2:$C$7,dim_BMI!$B$2:$B$7,,1)</f>
        <v>25.0 to 29.9 (Overweight)</v>
      </c>
    </row>
    <row r="1259" spans="1:11" x14ac:dyDescent="0.25">
      <c r="A1259" s="1">
        <v>494</v>
      </c>
      <c r="B1259">
        <v>61</v>
      </c>
      <c r="C1259">
        <v>43.4</v>
      </c>
      <c r="D1259">
        <v>0</v>
      </c>
      <c r="E1259">
        <f t="shared" si="19"/>
        <v>0</v>
      </c>
      <c r="F1259">
        <v>12574.049000000001</v>
      </c>
      <c r="G1259" t="s">
        <v>9</v>
      </c>
      <c r="H1259" t="s">
        <v>11</v>
      </c>
      <c r="I1259" t="s">
        <v>10</v>
      </c>
      <c r="J1259">
        <f>_xlfn.XLOOKUP(C1259,dim_BMI!$C$2:$C$7,dim_BMI!$A$2:$A$7,,1)</f>
        <v>6</v>
      </c>
      <c r="K1259" t="str">
        <f>_xlfn.XLOOKUP(C1259,dim_BMI!$C$2:$C$7,dim_BMI!$B$2:$B$7,,1)</f>
        <v>40 or higher (Severe Obesity Class 3)</v>
      </c>
    </row>
    <row r="1260" spans="1:11" x14ac:dyDescent="0.25">
      <c r="A1260" s="1">
        <v>589</v>
      </c>
      <c r="B1260">
        <v>61</v>
      </c>
      <c r="C1260">
        <v>35.909999999999997</v>
      </c>
      <c r="D1260">
        <v>0</v>
      </c>
      <c r="E1260">
        <f t="shared" si="19"/>
        <v>0</v>
      </c>
      <c r="F1260">
        <v>13635.6379</v>
      </c>
      <c r="G1260" t="s">
        <v>14</v>
      </c>
      <c r="H1260" t="s">
        <v>11</v>
      </c>
      <c r="I1260" t="s">
        <v>7</v>
      </c>
      <c r="J1260">
        <f>_xlfn.XLOOKUP(C1260,dim_BMI!$C$2:$C$7,dim_BMI!$A$2:$A$7,,1)</f>
        <v>5</v>
      </c>
      <c r="K1260" t="str">
        <f>_xlfn.XLOOKUP(C1260,dim_BMI!$C$2:$C$7,dim_BMI!$B$2:$B$7,,1)</f>
        <v>35 to 39.9 (Obesity Class 2)</v>
      </c>
    </row>
    <row r="1261" spans="1:11" x14ac:dyDescent="0.25">
      <c r="A1261" s="1">
        <v>643</v>
      </c>
      <c r="B1261">
        <v>61</v>
      </c>
      <c r="C1261">
        <v>33.914999999999999</v>
      </c>
      <c r="D1261">
        <v>0</v>
      </c>
      <c r="E1261">
        <f t="shared" si="19"/>
        <v>0</v>
      </c>
      <c r="F1261">
        <v>13143.86485</v>
      </c>
      <c r="G1261" t="s">
        <v>14</v>
      </c>
      <c r="H1261" t="s">
        <v>11</v>
      </c>
      <c r="I1261" t="s">
        <v>10</v>
      </c>
      <c r="J1261">
        <f>_xlfn.XLOOKUP(C1261,dim_BMI!$C$2:$C$7,dim_BMI!$A$2:$A$7,,1)</f>
        <v>4</v>
      </c>
      <c r="K1261" t="str">
        <f>_xlfn.XLOOKUP(C1261,dim_BMI!$C$2:$C$7,dim_BMI!$B$2:$B$7,,1)</f>
        <v>30.0 to 34.9 (Obesity Class 1)</v>
      </c>
    </row>
    <row r="1262" spans="1:11" x14ac:dyDescent="0.25">
      <c r="A1262" s="1">
        <v>771</v>
      </c>
      <c r="B1262">
        <v>61</v>
      </c>
      <c r="C1262">
        <v>36.1</v>
      </c>
      <c r="D1262">
        <v>3</v>
      </c>
      <c r="E1262">
        <f t="shared" si="19"/>
        <v>0</v>
      </c>
      <c r="F1262">
        <v>27941.28758</v>
      </c>
      <c r="G1262" t="s">
        <v>9</v>
      </c>
      <c r="H1262" t="s">
        <v>11</v>
      </c>
      <c r="I1262" t="s">
        <v>10</v>
      </c>
      <c r="J1262">
        <f>_xlfn.XLOOKUP(C1262,dim_BMI!$C$2:$C$7,dim_BMI!$A$2:$A$7,,1)</f>
        <v>5</v>
      </c>
      <c r="K1262" t="str">
        <f>_xlfn.XLOOKUP(C1262,dim_BMI!$C$2:$C$7,dim_BMI!$B$2:$B$7,,1)</f>
        <v>35 to 39.9 (Obesity Class 2)</v>
      </c>
    </row>
    <row r="1263" spans="1:11" x14ac:dyDescent="0.25">
      <c r="A1263" s="1">
        <v>852</v>
      </c>
      <c r="B1263">
        <v>61</v>
      </c>
      <c r="C1263">
        <v>32.299999999999997</v>
      </c>
      <c r="D1263">
        <v>2</v>
      </c>
      <c r="E1263">
        <f t="shared" si="19"/>
        <v>0</v>
      </c>
      <c r="F1263">
        <v>14119.62</v>
      </c>
      <c r="G1263" t="s">
        <v>13</v>
      </c>
      <c r="H1263" t="s">
        <v>11</v>
      </c>
      <c r="I1263" t="s">
        <v>10</v>
      </c>
      <c r="J1263">
        <f>_xlfn.XLOOKUP(C1263,dim_BMI!$C$2:$C$7,dim_BMI!$A$2:$A$7,,1)</f>
        <v>4</v>
      </c>
      <c r="K1263" t="str">
        <f>_xlfn.XLOOKUP(C1263,dim_BMI!$C$2:$C$7,dim_BMI!$B$2:$B$7,,1)</f>
        <v>30.0 to 34.9 (Obesity Class 1)</v>
      </c>
    </row>
    <row r="1264" spans="1:11" x14ac:dyDescent="0.25">
      <c r="A1264" s="1">
        <v>869</v>
      </c>
      <c r="B1264">
        <v>61</v>
      </c>
      <c r="C1264">
        <v>23.655000000000001</v>
      </c>
      <c r="D1264">
        <v>0</v>
      </c>
      <c r="E1264">
        <f t="shared" si="19"/>
        <v>0</v>
      </c>
      <c r="F1264">
        <v>13129.603450000001</v>
      </c>
      <c r="G1264" t="s">
        <v>14</v>
      </c>
      <c r="H1264" t="s">
        <v>11</v>
      </c>
      <c r="I1264" t="s">
        <v>10</v>
      </c>
      <c r="J1264">
        <f>_xlfn.XLOOKUP(C1264,dim_BMI!$C$2:$C$7,dim_BMI!$A$2:$A$7,,1)</f>
        <v>2</v>
      </c>
      <c r="K1264" t="str">
        <f>_xlfn.XLOOKUP(C1264,dim_BMI!$C$2:$C$7,dim_BMI!$B$2:$B$7,,1)</f>
        <v>18.5 to 24.9 (Healthy Weight)</v>
      </c>
    </row>
    <row r="1265" spans="1:11" x14ac:dyDescent="0.25">
      <c r="A1265" s="1">
        <v>896</v>
      </c>
      <c r="B1265">
        <v>61</v>
      </c>
      <c r="C1265">
        <v>44</v>
      </c>
      <c r="D1265">
        <v>0</v>
      </c>
      <c r="E1265">
        <f t="shared" si="19"/>
        <v>0</v>
      </c>
      <c r="F1265">
        <v>13063.883</v>
      </c>
      <c r="G1265" t="s">
        <v>9</v>
      </c>
      <c r="H1265" t="s">
        <v>11</v>
      </c>
      <c r="I1265" t="s">
        <v>7</v>
      </c>
      <c r="J1265">
        <f>_xlfn.XLOOKUP(C1265,dim_BMI!$C$2:$C$7,dim_BMI!$A$2:$A$7,,1)</f>
        <v>6</v>
      </c>
      <c r="K1265" t="str">
        <f>_xlfn.XLOOKUP(C1265,dim_BMI!$C$2:$C$7,dim_BMI!$B$2:$B$7,,1)</f>
        <v>40 or higher (Severe Obesity Class 3)</v>
      </c>
    </row>
    <row r="1266" spans="1:11" x14ac:dyDescent="0.25">
      <c r="A1266" s="1">
        <v>919</v>
      </c>
      <c r="B1266">
        <v>61</v>
      </c>
      <c r="C1266">
        <v>28.2</v>
      </c>
      <c r="D1266">
        <v>0</v>
      </c>
      <c r="E1266">
        <f t="shared" si="19"/>
        <v>0</v>
      </c>
      <c r="F1266">
        <v>13041.921</v>
      </c>
      <c r="G1266" t="s">
        <v>9</v>
      </c>
      <c r="H1266" t="s">
        <v>11</v>
      </c>
      <c r="I1266" t="s">
        <v>7</v>
      </c>
      <c r="J1266">
        <f>_xlfn.XLOOKUP(C1266,dim_BMI!$C$2:$C$7,dim_BMI!$A$2:$A$7,,1)</f>
        <v>3</v>
      </c>
      <c r="K1266" t="str">
        <f>_xlfn.XLOOKUP(C1266,dim_BMI!$C$2:$C$7,dim_BMI!$B$2:$B$7,,1)</f>
        <v>25.0 to 29.9 (Overweight)</v>
      </c>
    </row>
    <row r="1267" spans="1:11" x14ac:dyDescent="0.25">
      <c r="A1267" s="1">
        <v>1013</v>
      </c>
      <c r="B1267">
        <v>61</v>
      </c>
      <c r="C1267">
        <v>33.33</v>
      </c>
      <c r="D1267">
        <v>4</v>
      </c>
      <c r="E1267">
        <f t="shared" si="19"/>
        <v>0</v>
      </c>
      <c r="F1267">
        <v>36580.282160000002</v>
      </c>
      <c r="G1267" t="s">
        <v>12</v>
      </c>
      <c r="H1267" t="s">
        <v>11</v>
      </c>
      <c r="I1267" t="s">
        <v>7</v>
      </c>
      <c r="J1267">
        <f>_xlfn.XLOOKUP(C1267,dim_BMI!$C$2:$C$7,dim_BMI!$A$2:$A$7,,1)</f>
        <v>4</v>
      </c>
      <c r="K1267" t="str">
        <f>_xlfn.XLOOKUP(C1267,dim_BMI!$C$2:$C$7,dim_BMI!$B$2:$B$7,,1)</f>
        <v>30.0 to 34.9 (Obesity Class 1)</v>
      </c>
    </row>
    <row r="1268" spans="1:11" x14ac:dyDescent="0.25">
      <c r="A1268" s="1">
        <v>1035</v>
      </c>
      <c r="B1268">
        <v>61</v>
      </c>
      <c r="C1268">
        <v>38.380000000000003</v>
      </c>
      <c r="D1268">
        <v>0</v>
      </c>
      <c r="E1268">
        <f t="shared" si="19"/>
        <v>0</v>
      </c>
      <c r="F1268">
        <v>12950.0712</v>
      </c>
      <c r="G1268" t="s">
        <v>13</v>
      </c>
      <c r="H1268" t="s">
        <v>11</v>
      </c>
      <c r="I1268" t="s">
        <v>10</v>
      </c>
      <c r="J1268">
        <f>_xlfn.XLOOKUP(C1268,dim_BMI!$C$2:$C$7,dim_BMI!$A$2:$A$7,,1)</f>
        <v>5</v>
      </c>
      <c r="K1268" t="str">
        <f>_xlfn.XLOOKUP(C1268,dim_BMI!$C$2:$C$7,dim_BMI!$B$2:$B$7,,1)</f>
        <v>35 to 39.9 (Obesity Class 2)</v>
      </c>
    </row>
    <row r="1269" spans="1:11" x14ac:dyDescent="0.25">
      <c r="A1269" s="1">
        <v>1285</v>
      </c>
      <c r="B1269">
        <v>61</v>
      </c>
      <c r="C1269">
        <v>36.299999999999997</v>
      </c>
      <c r="D1269">
        <v>1</v>
      </c>
      <c r="E1269">
        <f t="shared" si="19"/>
        <v>1</v>
      </c>
      <c r="F1269">
        <v>47403.88</v>
      </c>
      <c r="G1269" t="s">
        <v>9</v>
      </c>
      <c r="H1269" t="s">
        <v>8</v>
      </c>
      <c r="I1269" t="s">
        <v>10</v>
      </c>
      <c r="J1269">
        <f>_xlfn.XLOOKUP(C1269,dim_BMI!$C$2:$C$7,dim_BMI!$A$2:$A$7,,1)</f>
        <v>5</v>
      </c>
      <c r="K1269" t="str">
        <f>_xlfn.XLOOKUP(C1269,dim_BMI!$C$2:$C$7,dim_BMI!$B$2:$B$7,,1)</f>
        <v>35 to 39.9 (Obesity Class 2)</v>
      </c>
    </row>
    <row r="1270" spans="1:11" x14ac:dyDescent="0.25">
      <c r="A1270" s="1">
        <v>1326</v>
      </c>
      <c r="B1270">
        <v>61</v>
      </c>
      <c r="C1270">
        <v>33.534999999999997</v>
      </c>
      <c r="D1270">
        <v>0</v>
      </c>
      <c r="E1270">
        <f t="shared" si="19"/>
        <v>0</v>
      </c>
      <c r="F1270">
        <v>13143.336649999999</v>
      </c>
      <c r="G1270" t="s">
        <v>14</v>
      </c>
      <c r="H1270" t="s">
        <v>11</v>
      </c>
      <c r="I1270" t="s">
        <v>10</v>
      </c>
      <c r="J1270">
        <f>_xlfn.XLOOKUP(C1270,dim_BMI!$C$2:$C$7,dim_BMI!$A$2:$A$7,,1)</f>
        <v>4</v>
      </c>
      <c r="K1270" t="str">
        <f>_xlfn.XLOOKUP(C1270,dim_BMI!$C$2:$C$7,dim_BMI!$B$2:$B$7,,1)</f>
        <v>30.0 to 34.9 (Obesity Class 1)</v>
      </c>
    </row>
    <row r="1271" spans="1:11" x14ac:dyDescent="0.25">
      <c r="A1271" s="1">
        <v>1338</v>
      </c>
      <c r="B1271">
        <v>61</v>
      </c>
      <c r="C1271">
        <v>29.07</v>
      </c>
      <c r="D1271">
        <v>0</v>
      </c>
      <c r="E1271">
        <f t="shared" si="19"/>
        <v>1</v>
      </c>
      <c r="F1271">
        <v>29141.3603</v>
      </c>
      <c r="G1271" t="s">
        <v>13</v>
      </c>
      <c r="H1271" t="s">
        <v>8</v>
      </c>
      <c r="I1271" t="s">
        <v>7</v>
      </c>
      <c r="J1271">
        <f>_xlfn.XLOOKUP(C1271,dim_BMI!$C$2:$C$7,dim_BMI!$A$2:$A$7,,1)</f>
        <v>3</v>
      </c>
      <c r="K1271" t="str">
        <f>_xlfn.XLOOKUP(C1271,dim_BMI!$C$2:$C$7,dim_BMI!$B$2:$B$7,,1)</f>
        <v>25.0 to 29.9 (Overweight)</v>
      </c>
    </row>
    <row r="1272" spans="1:11" x14ac:dyDescent="0.25">
      <c r="A1272" s="1">
        <v>12</v>
      </c>
      <c r="B1272">
        <v>62</v>
      </c>
      <c r="C1272">
        <v>26.29</v>
      </c>
      <c r="D1272">
        <v>0</v>
      </c>
      <c r="E1272">
        <f t="shared" si="19"/>
        <v>1</v>
      </c>
      <c r="F1272">
        <v>27808.7251</v>
      </c>
      <c r="G1272" t="s">
        <v>12</v>
      </c>
      <c r="H1272" t="s">
        <v>8</v>
      </c>
      <c r="I1272" t="s">
        <v>7</v>
      </c>
      <c r="J1272">
        <f>_xlfn.XLOOKUP(C1272,dim_BMI!$C$2:$C$7,dim_BMI!$A$2:$A$7,,1)</f>
        <v>3</v>
      </c>
      <c r="K1272" t="str">
        <f>_xlfn.XLOOKUP(C1272,dim_BMI!$C$2:$C$7,dim_BMI!$B$2:$B$7,,1)</f>
        <v>25.0 to 29.9 (Overweight)</v>
      </c>
    </row>
    <row r="1273" spans="1:11" x14ac:dyDescent="0.25">
      <c r="A1273" s="1">
        <v>37</v>
      </c>
      <c r="B1273">
        <v>62</v>
      </c>
      <c r="C1273">
        <v>32.965000000000003</v>
      </c>
      <c r="D1273">
        <v>3</v>
      </c>
      <c r="E1273">
        <f t="shared" si="19"/>
        <v>0</v>
      </c>
      <c r="F1273">
        <v>15612.19335</v>
      </c>
      <c r="G1273" t="s">
        <v>13</v>
      </c>
      <c r="H1273" t="s">
        <v>11</v>
      </c>
      <c r="I1273" t="s">
        <v>7</v>
      </c>
      <c r="J1273">
        <f>_xlfn.XLOOKUP(C1273,dim_BMI!$C$2:$C$7,dim_BMI!$A$2:$A$7,,1)</f>
        <v>4</v>
      </c>
      <c r="K1273" t="str">
        <f>_xlfn.XLOOKUP(C1273,dim_BMI!$C$2:$C$7,dim_BMI!$B$2:$B$7,,1)</f>
        <v>30.0 to 34.9 (Obesity Class 1)</v>
      </c>
    </row>
    <row r="1274" spans="1:11" x14ac:dyDescent="0.25">
      <c r="A1274" s="1">
        <v>338</v>
      </c>
      <c r="B1274">
        <v>62</v>
      </c>
      <c r="C1274">
        <v>27.55</v>
      </c>
      <c r="D1274">
        <v>1</v>
      </c>
      <c r="E1274">
        <f t="shared" si="19"/>
        <v>0</v>
      </c>
      <c r="F1274">
        <v>13937.666499999999</v>
      </c>
      <c r="G1274" t="s">
        <v>13</v>
      </c>
      <c r="H1274" t="s">
        <v>11</v>
      </c>
      <c r="I1274" t="s">
        <v>10</v>
      </c>
      <c r="J1274">
        <f>_xlfn.XLOOKUP(C1274,dim_BMI!$C$2:$C$7,dim_BMI!$A$2:$A$7,,1)</f>
        <v>3</v>
      </c>
      <c r="K1274" t="str">
        <f>_xlfn.XLOOKUP(C1274,dim_BMI!$C$2:$C$7,dim_BMI!$B$2:$B$7,,1)</f>
        <v>25.0 to 29.9 (Overweight)</v>
      </c>
    </row>
    <row r="1275" spans="1:11" x14ac:dyDescent="0.25">
      <c r="A1275" s="1">
        <v>342</v>
      </c>
      <c r="B1275">
        <v>62</v>
      </c>
      <c r="C1275">
        <v>30.02</v>
      </c>
      <c r="D1275">
        <v>0</v>
      </c>
      <c r="E1275">
        <f t="shared" si="19"/>
        <v>0</v>
      </c>
      <c r="F1275">
        <v>13352.0998</v>
      </c>
      <c r="G1275" t="s">
        <v>13</v>
      </c>
      <c r="H1275" t="s">
        <v>11</v>
      </c>
      <c r="I1275" t="s">
        <v>10</v>
      </c>
      <c r="J1275">
        <f>_xlfn.XLOOKUP(C1275,dim_BMI!$C$2:$C$7,dim_BMI!$A$2:$A$7,,1)</f>
        <v>4</v>
      </c>
      <c r="K1275" t="str">
        <f>_xlfn.XLOOKUP(C1275,dim_BMI!$C$2:$C$7,dim_BMI!$B$2:$B$7,,1)</f>
        <v>30.0 to 34.9 (Obesity Class 1)</v>
      </c>
    </row>
    <row r="1276" spans="1:11" x14ac:dyDescent="0.25">
      <c r="A1276" s="1">
        <v>380</v>
      </c>
      <c r="B1276">
        <v>62</v>
      </c>
      <c r="C1276">
        <v>31.46</v>
      </c>
      <c r="D1276">
        <v>1</v>
      </c>
      <c r="E1276">
        <f t="shared" si="19"/>
        <v>0</v>
      </c>
      <c r="F1276">
        <v>27000.98473</v>
      </c>
      <c r="G1276" t="s">
        <v>12</v>
      </c>
      <c r="H1276" t="s">
        <v>11</v>
      </c>
      <c r="I1276" t="s">
        <v>10</v>
      </c>
      <c r="J1276">
        <f>_xlfn.XLOOKUP(C1276,dim_BMI!$C$2:$C$7,dim_BMI!$A$2:$A$7,,1)</f>
        <v>4</v>
      </c>
      <c r="K1276" t="str">
        <f>_xlfn.XLOOKUP(C1276,dim_BMI!$C$2:$C$7,dim_BMI!$B$2:$B$7,,1)</f>
        <v>30.0 to 34.9 (Obesity Class 1)</v>
      </c>
    </row>
    <row r="1277" spans="1:11" x14ac:dyDescent="0.25">
      <c r="A1277" s="1">
        <v>463</v>
      </c>
      <c r="B1277">
        <v>62</v>
      </c>
      <c r="C1277">
        <v>38.094999999999999</v>
      </c>
      <c r="D1277">
        <v>2</v>
      </c>
      <c r="E1277">
        <f t="shared" si="19"/>
        <v>0</v>
      </c>
      <c r="F1277">
        <v>15230.324049999999</v>
      </c>
      <c r="G1277" t="s">
        <v>14</v>
      </c>
      <c r="H1277" t="s">
        <v>11</v>
      </c>
      <c r="I1277" t="s">
        <v>7</v>
      </c>
      <c r="J1277">
        <f>_xlfn.XLOOKUP(C1277,dim_BMI!$C$2:$C$7,dim_BMI!$A$2:$A$7,,1)</f>
        <v>5</v>
      </c>
      <c r="K1277" t="str">
        <f>_xlfn.XLOOKUP(C1277,dim_BMI!$C$2:$C$7,dim_BMI!$B$2:$B$7,,1)</f>
        <v>35 to 39.9 (Obesity Class 2)</v>
      </c>
    </row>
    <row r="1278" spans="1:11" x14ac:dyDescent="0.25">
      <c r="A1278" s="1">
        <v>500</v>
      </c>
      <c r="B1278">
        <v>62</v>
      </c>
      <c r="C1278">
        <v>39.200000000000003</v>
      </c>
      <c r="D1278">
        <v>0</v>
      </c>
      <c r="E1278">
        <f t="shared" si="19"/>
        <v>0</v>
      </c>
      <c r="F1278">
        <v>13470.86</v>
      </c>
      <c r="G1278" t="s">
        <v>9</v>
      </c>
      <c r="H1278" t="s">
        <v>11</v>
      </c>
      <c r="I1278" t="s">
        <v>7</v>
      </c>
      <c r="J1278">
        <f>_xlfn.XLOOKUP(C1278,dim_BMI!$C$2:$C$7,dim_BMI!$A$2:$A$7,,1)</f>
        <v>5</v>
      </c>
      <c r="K1278" t="str">
        <f>_xlfn.XLOOKUP(C1278,dim_BMI!$C$2:$C$7,dim_BMI!$B$2:$B$7,,1)</f>
        <v>35 to 39.9 (Obesity Class 2)</v>
      </c>
    </row>
    <row r="1279" spans="1:11" x14ac:dyDescent="0.25">
      <c r="A1279" s="1">
        <v>532</v>
      </c>
      <c r="B1279">
        <v>62</v>
      </c>
      <c r="C1279">
        <v>31.73</v>
      </c>
      <c r="D1279">
        <v>0</v>
      </c>
      <c r="E1279">
        <f t="shared" si="19"/>
        <v>0</v>
      </c>
      <c r="F1279">
        <v>14043.476699999999</v>
      </c>
      <c r="G1279" t="s">
        <v>14</v>
      </c>
      <c r="H1279" t="s">
        <v>11</v>
      </c>
      <c r="I1279" t="s">
        <v>7</v>
      </c>
      <c r="J1279">
        <f>_xlfn.XLOOKUP(C1279,dim_BMI!$C$2:$C$7,dim_BMI!$A$2:$A$7,,1)</f>
        <v>4</v>
      </c>
      <c r="K1279" t="str">
        <f>_xlfn.XLOOKUP(C1279,dim_BMI!$C$2:$C$7,dim_BMI!$B$2:$B$7,,1)</f>
        <v>30.0 to 34.9 (Obesity Class 1)</v>
      </c>
    </row>
    <row r="1280" spans="1:11" x14ac:dyDescent="0.25">
      <c r="A1280" s="1">
        <v>553</v>
      </c>
      <c r="B1280">
        <v>62</v>
      </c>
      <c r="C1280">
        <v>21.4</v>
      </c>
      <c r="D1280">
        <v>0</v>
      </c>
      <c r="E1280">
        <f t="shared" si="19"/>
        <v>0</v>
      </c>
      <c r="F1280">
        <v>12957.118</v>
      </c>
      <c r="G1280" t="s">
        <v>9</v>
      </c>
      <c r="H1280" t="s">
        <v>11</v>
      </c>
      <c r="I1280" t="s">
        <v>10</v>
      </c>
      <c r="J1280">
        <f>_xlfn.XLOOKUP(C1280,dim_BMI!$C$2:$C$7,dim_BMI!$A$2:$A$7,,1)</f>
        <v>2</v>
      </c>
      <c r="K1280" t="str">
        <f>_xlfn.XLOOKUP(C1280,dim_BMI!$C$2:$C$7,dim_BMI!$B$2:$B$7,,1)</f>
        <v>18.5 to 24.9 (Healthy Weight)</v>
      </c>
    </row>
    <row r="1281" spans="1:11" x14ac:dyDescent="0.25">
      <c r="A1281" s="1">
        <v>574</v>
      </c>
      <c r="B1281">
        <v>62</v>
      </c>
      <c r="C1281">
        <v>36.86</v>
      </c>
      <c r="D1281">
        <v>1</v>
      </c>
      <c r="E1281">
        <f t="shared" si="19"/>
        <v>0</v>
      </c>
      <c r="F1281">
        <v>31620.001059999999</v>
      </c>
      <c r="G1281" t="s">
        <v>14</v>
      </c>
      <c r="H1281" t="s">
        <v>11</v>
      </c>
      <c r="I1281" t="s">
        <v>7</v>
      </c>
      <c r="J1281">
        <f>_xlfn.XLOOKUP(C1281,dim_BMI!$C$2:$C$7,dim_BMI!$A$2:$A$7,,1)</f>
        <v>5</v>
      </c>
      <c r="K1281" t="str">
        <f>_xlfn.XLOOKUP(C1281,dim_BMI!$C$2:$C$7,dim_BMI!$B$2:$B$7,,1)</f>
        <v>35 to 39.9 (Obesity Class 2)</v>
      </c>
    </row>
    <row r="1282" spans="1:11" x14ac:dyDescent="0.25">
      <c r="A1282" s="1">
        <v>669</v>
      </c>
      <c r="B1282">
        <v>62</v>
      </c>
      <c r="C1282">
        <v>32.015000000000001</v>
      </c>
      <c r="D1282">
        <v>0</v>
      </c>
      <c r="E1282">
        <f t="shared" si="19"/>
        <v>1</v>
      </c>
      <c r="F1282">
        <v>45710.207849999999</v>
      </c>
      <c r="G1282" t="s">
        <v>14</v>
      </c>
      <c r="H1282" t="s">
        <v>8</v>
      </c>
      <c r="I1282" t="s">
        <v>10</v>
      </c>
      <c r="J1282">
        <f>_xlfn.XLOOKUP(C1282,dim_BMI!$C$2:$C$7,dim_BMI!$A$2:$A$7,,1)</f>
        <v>4</v>
      </c>
      <c r="K1282" t="str">
        <f>_xlfn.XLOOKUP(C1282,dim_BMI!$C$2:$C$7,dim_BMI!$B$2:$B$7,,1)</f>
        <v>30.0 to 34.9 (Obesity Class 1)</v>
      </c>
    </row>
    <row r="1283" spans="1:11" x14ac:dyDescent="0.25">
      <c r="A1283" s="1">
        <v>723</v>
      </c>
      <c r="B1283">
        <v>62</v>
      </c>
      <c r="C1283">
        <v>37.4</v>
      </c>
      <c r="D1283">
        <v>0</v>
      </c>
      <c r="E1283">
        <f t="shared" ref="E1283:E1339" si="20">IF(H1283="yes",1,0)</f>
        <v>0</v>
      </c>
      <c r="F1283">
        <v>12979.358</v>
      </c>
      <c r="G1283" t="s">
        <v>9</v>
      </c>
      <c r="H1283" t="s">
        <v>11</v>
      </c>
      <c r="I1283" t="s">
        <v>10</v>
      </c>
      <c r="J1283">
        <f>_xlfn.XLOOKUP(C1283,dim_BMI!$C$2:$C$7,dim_BMI!$A$2:$A$7,,1)</f>
        <v>5</v>
      </c>
      <c r="K1283" t="str">
        <f>_xlfn.XLOOKUP(C1283,dim_BMI!$C$2:$C$7,dim_BMI!$B$2:$B$7,,1)</f>
        <v>35 to 39.9 (Obesity Class 2)</v>
      </c>
    </row>
    <row r="1284" spans="1:11" x14ac:dyDescent="0.25">
      <c r="A1284" s="1">
        <v>790</v>
      </c>
      <c r="B1284">
        <v>62</v>
      </c>
      <c r="C1284">
        <v>29.92</v>
      </c>
      <c r="D1284">
        <v>0</v>
      </c>
      <c r="E1284">
        <f t="shared" si="20"/>
        <v>0</v>
      </c>
      <c r="F1284">
        <v>13457.960800000001</v>
      </c>
      <c r="G1284" t="s">
        <v>12</v>
      </c>
      <c r="H1284" t="s">
        <v>11</v>
      </c>
      <c r="I1284" t="s">
        <v>7</v>
      </c>
      <c r="J1284">
        <f>_xlfn.XLOOKUP(C1284,dim_BMI!$C$2:$C$7,dim_BMI!$A$2:$A$7,,1)</f>
        <v>4</v>
      </c>
      <c r="K1284" t="str">
        <f>_xlfn.XLOOKUP(C1284,dim_BMI!$C$2:$C$7,dim_BMI!$B$2:$B$7,,1)</f>
        <v>30.0 to 34.9 (Obesity Class 1)</v>
      </c>
    </row>
    <row r="1285" spans="1:11" x14ac:dyDescent="0.25">
      <c r="A1285" s="1">
        <v>895</v>
      </c>
      <c r="B1285">
        <v>62</v>
      </c>
      <c r="C1285">
        <v>32.11</v>
      </c>
      <c r="D1285">
        <v>0</v>
      </c>
      <c r="E1285">
        <f t="shared" si="20"/>
        <v>0</v>
      </c>
      <c r="F1285">
        <v>13555.0049</v>
      </c>
      <c r="G1285" t="s">
        <v>14</v>
      </c>
      <c r="H1285" t="s">
        <v>11</v>
      </c>
      <c r="I1285" t="s">
        <v>10</v>
      </c>
      <c r="J1285">
        <f>_xlfn.XLOOKUP(C1285,dim_BMI!$C$2:$C$7,dim_BMI!$A$2:$A$7,,1)</f>
        <v>4</v>
      </c>
      <c r="K1285" t="str">
        <f>_xlfn.XLOOKUP(C1285,dim_BMI!$C$2:$C$7,dim_BMI!$B$2:$B$7,,1)</f>
        <v>30.0 to 34.9 (Obesity Class 1)</v>
      </c>
    </row>
    <row r="1286" spans="1:11" x14ac:dyDescent="0.25">
      <c r="A1286" s="1">
        <v>921</v>
      </c>
      <c r="B1286">
        <v>62</v>
      </c>
      <c r="C1286">
        <v>25</v>
      </c>
      <c r="D1286">
        <v>0</v>
      </c>
      <c r="E1286">
        <f t="shared" si="20"/>
        <v>0</v>
      </c>
      <c r="F1286">
        <v>13451.121999999999</v>
      </c>
      <c r="G1286" t="s">
        <v>9</v>
      </c>
      <c r="H1286" t="s">
        <v>11</v>
      </c>
      <c r="I1286" t="s">
        <v>7</v>
      </c>
      <c r="J1286">
        <f>_xlfn.XLOOKUP(C1286,dim_BMI!$C$2:$C$7,dim_BMI!$A$2:$A$7,,1)</f>
        <v>3</v>
      </c>
      <c r="K1286" t="str">
        <f>_xlfn.XLOOKUP(C1286,dim_BMI!$C$2:$C$7,dim_BMI!$B$2:$B$7,,1)</f>
        <v>25.0 to 29.9 (Overweight)</v>
      </c>
    </row>
    <row r="1287" spans="1:11" x14ac:dyDescent="0.25">
      <c r="A1287" s="1">
        <v>922</v>
      </c>
      <c r="B1287">
        <v>62</v>
      </c>
      <c r="C1287">
        <v>33.200000000000003</v>
      </c>
      <c r="D1287">
        <v>0</v>
      </c>
      <c r="E1287">
        <f t="shared" si="20"/>
        <v>0</v>
      </c>
      <c r="F1287">
        <v>13462.52</v>
      </c>
      <c r="G1287" t="s">
        <v>9</v>
      </c>
      <c r="H1287" t="s">
        <v>11</v>
      </c>
      <c r="I1287" t="s">
        <v>7</v>
      </c>
      <c r="J1287">
        <f>_xlfn.XLOOKUP(C1287,dim_BMI!$C$2:$C$7,dim_BMI!$A$2:$A$7,,1)</f>
        <v>4</v>
      </c>
      <c r="K1287" t="str">
        <f>_xlfn.XLOOKUP(C1287,dim_BMI!$C$2:$C$7,dim_BMI!$B$2:$B$7,,1)</f>
        <v>30.0 to 34.9 (Obesity Class 1)</v>
      </c>
    </row>
    <row r="1288" spans="1:11" x14ac:dyDescent="0.25">
      <c r="A1288" s="1">
        <v>929</v>
      </c>
      <c r="B1288">
        <v>62</v>
      </c>
      <c r="C1288">
        <v>39.159999999999997</v>
      </c>
      <c r="D1288">
        <v>0</v>
      </c>
      <c r="E1288">
        <f t="shared" si="20"/>
        <v>0</v>
      </c>
      <c r="F1288">
        <v>13470.804400000001</v>
      </c>
      <c r="G1288" t="s">
        <v>12</v>
      </c>
      <c r="H1288" t="s">
        <v>11</v>
      </c>
      <c r="I1288" t="s">
        <v>7</v>
      </c>
      <c r="J1288">
        <f>_xlfn.XLOOKUP(C1288,dim_BMI!$C$2:$C$7,dim_BMI!$A$2:$A$7,,1)</f>
        <v>5</v>
      </c>
      <c r="K1288" t="str">
        <f>_xlfn.XLOOKUP(C1288,dim_BMI!$C$2:$C$7,dim_BMI!$B$2:$B$7,,1)</f>
        <v>35 to 39.9 (Obesity Class 2)</v>
      </c>
    </row>
    <row r="1289" spans="1:11" x14ac:dyDescent="0.25">
      <c r="A1289" s="1">
        <v>945</v>
      </c>
      <c r="B1289">
        <v>62</v>
      </c>
      <c r="C1289">
        <v>39.93</v>
      </c>
      <c r="D1289">
        <v>0</v>
      </c>
      <c r="E1289">
        <f t="shared" si="20"/>
        <v>0</v>
      </c>
      <c r="F1289">
        <v>12982.8747</v>
      </c>
      <c r="G1289" t="s">
        <v>12</v>
      </c>
      <c r="H1289" t="s">
        <v>11</v>
      </c>
      <c r="I1289" t="s">
        <v>10</v>
      </c>
      <c r="J1289">
        <f>_xlfn.XLOOKUP(C1289,dim_BMI!$C$2:$C$7,dim_BMI!$A$2:$A$7,,1)</f>
        <v>6</v>
      </c>
      <c r="K1289" t="str">
        <f>_xlfn.XLOOKUP(C1289,dim_BMI!$C$2:$C$7,dim_BMI!$B$2:$B$7,,1)</f>
        <v>40 or higher (Severe Obesity Class 3)</v>
      </c>
    </row>
    <row r="1290" spans="1:11" x14ac:dyDescent="0.25">
      <c r="A1290" s="1">
        <v>1085</v>
      </c>
      <c r="B1290">
        <v>62</v>
      </c>
      <c r="C1290">
        <v>30.495000000000001</v>
      </c>
      <c r="D1290">
        <v>2</v>
      </c>
      <c r="E1290">
        <f t="shared" si="20"/>
        <v>0</v>
      </c>
      <c r="F1290">
        <v>15019.760050000001</v>
      </c>
      <c r="G1290" t="s">
        <v>13</v>
      </c>
      <c r="H1290" t="s">
        <v>11</v>
      </c>
      <c r="I1290" t="s">
        <v>7</v>
      </c>
      <c r="J1290">
        <f>_xlfn.XLOOKUP(C1290,dim_BMI!$C$2:$C$7,dim_BMI!$A$2:$A$7,,1)</f>
        <v>4</v>
      </c>
      <c r="K1290" t="str">
        <f>_xlfn.XLOOKUP(C1290,dim_BMI!$C$2:$C$7,dim_BMI!$B$2:$B$7,,1)</f>
        <v>30.0 to 34.9 (Obesity Class 1)</v>
      </c>
    </row>
    <row r="1291" spans="1:11" x14ac:dyDescent="0.25">
      <c r="A1291" s="1">
        <v>1188</v>
      </c>
      <c r="B1291">
        <v>62</v>
      </c>
      <c r="C1291">
        <v>32.68</v>
      </c>
      <c r="D1291">
        <v>0</v>
      </c>
      <c r="E1291">
        <f t="shared" si="20"/>
        <v>0</v>
      </c>
      <c r="F1291">
        <v>13844.797200000001</v>
      </c>
      <c r="G1291" t="s">
        <v>13</v>
      </c>
      <c r="H1291" t="s">
        <v>11</v>
      </c>
      <c r="I1291" t="s">
        <v>7</v>
      </c>
      <c r="J1291">
        <f>_xlfn.XLOOKUP(C1291,dim_BMI!$C$2:$C$7,dim_BMI!$A$2:$A$7,,1)</f>
        <v>4</v>
      </c>
      <c r="K1291" t="str">
        <f>_xlfn.XLOOKUP(C1291,dim_BMI!$C$2:$C$7,dim_BMI!$B$2:$B$7,,1)</f>
        <v>30.0 to 34.9 (Obesity Class 1)</v>
      </c>
    </row>
    <row r="1292" spans="1:11" x14ac:dyDescent="0.25">
      <c r="A1292" s="1">
        <v>1302</v>
      </c>
      <c r="B1292">
        <v>62</v>
      </c>
      <c r="C1292">
        <v>30.875</v>
      </c>
      <c r="D1292">
        <v>3</v>
      </c>
      <c r="E1292">
        <f t="shared" si="20"/>
        <v>1</v>
      </c>
      <c r="F1292">
        <v>46718.163249999998</v>
      </c>
      <c r="G1292" t="s">
        <v>13</v>
      </c>
      <c r="H1292" t="s">
        <v>8</v>
      </c>
      <c r="I1292" t="s">
        <v>10</v>
      </c>
      <c r="J1292">
        <f>_xlfn.XLOOKUP(C1292,dim_BMI!$C$2:$C$7,dim_BMI!$A$2:$A$7,,1)</f>
        <v>4</v>
      </c>
      <c r="K1292" t="str">
        <f>_xlfn.XLOOKUP(C1292,dim_BMI!$C$2:$C$7,dim_BMI!$B$2:$B$7,,1)</f>
        <v>30.0 to 34.9 (Obesity Class 1)</v>
      </c>
    </row>
    <row r="1293" spans="1:11" x14ac:dyDescent="0.25">
      <c r="A1293" s="1">
        <v>1322</v>
      </c>
      <c r="B1293">
        <v>62</v>
      </c>
      <c r="C1293">
        <v>26.695</v>
      </c>
      <c r="D1293">
        <v>0</v>
      </c>
      <c r="E1293">
        <f t="shared" si="20"/>
        <v>1</v>
      </c>
      <c r="F1293">
        <v>28101.333050000001</v>
      </c>
      <c r="G1293" t="s">
        <v>14</v>
      </c>
      <c r="H1293" t="s">
        <v>8</v>
      </c>
      <c r="I1293" t="s">
        <v>10</v>
      </c>
      <c r="J1293">
        <f>_xlfn.XLOOKUP(C1293,dim_BMI!$C$2:$C$7,dim_BMI!$A$2:$A$7,,1)</f>
        <v>3</v>
      </c>
      <c r="K1293" t="str">
        <f>_xlfn.XLOOKUP(C1293,dim_BMI!$C$2:$C$7,dim_BMI!$B$2:$B$7,,1)</f>
        <v>25.0 to 29.9 (Overweight)</v>
      </c>
    </row>
    <row r="1294" spans="1:11" x14ac:dyDescent="0.25">
      <c r="A1294" s="1">
        <v>1323</v>
      </c>
      <c r="B1294">
        <v>62</v>
      </c>
      <c r="C1294">
        <v>38.83</v>
      </c>
      <c r="D1294">
        <v>0</v>
      </c>
      <c r="E1294">
        <f t="shared" si="20"/>
        <v>0</v>
      </c>
      <c r="F1294">
        <v>12981.3457</v>
      </c>
      <c r="G1294" t="s">
        <v>12</v>
      </c>
      <c r="H1294" t="s">
        <v>11</v>
      </c>
      <c r="I1294" t="s">
        <v>10</v>
      </c>
      <c r="J1294">
        <f>_xlfn.XLOOKUP(C1294,dim_BMI!$C$2:$C$7,dim_BMI!$A$2:$A$7,,1)</f>
        <v>5</v>
      </c>
      <c r="K1294" t="str">
        <f>_xlfn.XLOOKUP(C1294,dim_BMI!$C$2:$C$7,dim_BMI!$B$2:$B$7,,1)</f>
        <v>35 to 39.9 (Obesity Class 2)</v>
      </c>
    </row>
    <row r="1295" spans="1:11" x14ac:dyDescent="0.25">
      <c r="A1295" s="1">
        <v>27</v>
      </c>
      <c r="B1295">
        <v>63</v>
      </c>
      <c r="C1295">
        <v>23.085000000000001</v>
      </c>
      <c r="D1295">
        <v>0</v>
      </c>
      <c r="E1295">
        <f t="shared" si="20"/>
        <v>0</v>
      </c>
      <c r="F1295">
        <v>14451.835150000001</v>
      </c>
      <c r="G1295" t="s">
        <v>14</v>
      </c>
      <c r="H1295" t="s">
        <v>11</v>
      </c>
      <c r="I1295" t="s">
        <v>7</v>
      </c>
      <c r="J1295">
        <f>_xlfn.XLOOKUP(C1295,dim_BMI!$C$2:$C$7,dim_BMI!$A$2:$A$7,,1)</f>
        <v>2</v>
      </c>
      <c r="K1295" t="str">
        <f>_xlfn.XLOOKUP(C1295,dim_BMI!$C$2:$C$7,dim_BMI!$B$2:$B$7,,1)</f>
        <v>18.5 to 24.9 (Healthy Weight)</v>
      </c>
    </row>
    <row r="1296" spans="1:11" x14ac:dyDescent="0.25">
      <c r="A1296" s="1">
        <v>34</v>
      </c>
      <c r="B1296">
        <v>63</v>
      </c>
      <c r="C1296">
        <v>28.31</v>
      </c>
      <c r="D1296">
        <v>0</v>
      </c>
      <c r="E1296">
        <f t="shared" si="20"/>
        <v>0</v>
      </c>
      <c r="F1296">
        <v>13770.097900000001</v>
      </c>
      <c r="G1296" t="s">
        <v>13</v>
      </c>
      <c r="H1296" t="s">
        <v>11</v>
      </c>
      <c r="I1296" t="s">
        <v>10</v>
      </c>
      <c r="J1296">
        <f>_xlfn.XLOOKUP(C1296,dim_BMI!$C$2:$C$7,dim_BMI!$A$2:$A$7,,1)</f>
        <v>3</v>
      </c>
      <c r="K1296" t="str">
        <f>_xlfn.XLOOKUP(C1296,dim_BMI!$C$2:$C$7,dim_BMI!$B$2:$B$7,,1)</f>
        <v>25.0 to 29.9 (Overweight)</v>
      </c>
    </row>
    <row r="1297" spans="1:11" x14ac:dyDescent="0.25">
      <c r="A1297" s="1">
        <v>110</v>
      </c>
      <c r="B1297">
        <v>63</v>
      </c>
      <c r="C1297">
        <v>35.090000000000003</v>
      </c>
      <c r="D1297">
        <v>0</v>
      </c>
      <c r="E1297">
        <f t="shared" si="20"/>
        <v>1</v>
      </c>
      <c r="F1297">
        <v>47055.532099999997</v>
      </c>
      <c r="G1297" t="s">
        <v>12</v>
      </c>
      <c r="H1297" t="s">
        <v>8</v>
      </c>
      <c r="I1297" t="s">
        <v>10</v>
      </c>
      <c r="J1297">
        <f>_xlfn.XLOOKUP(C1297,dim_BMI!$C$2:$C$7,dim_BMI!$A$2:$A$7,,1)</f>
        <v>5</v>
      </c>
      <c r="K1297" t="str">
        <f>_xlfn.XLOOKUP(C1297,dim_BMI!$C$2:$C$7,dim_BMI!$B$2:$B$7,,1)</f>
        <v>35 to 39.9 (Obesity Class 2)</v>
      </c>
    </row>
    <row r="1298" spans="1:11" x14ac:dyDescent="0.25">
      <c r="A1298" s="1">
        <v>171</v>
      </c>
      <c r="B1298">
        <v>63</v>
      </c>
      <c r="C1298">
        <v>41.47</v>
      </c>
      <c r="D1298">
        <v>0</v>
      </c>
      <c r="E1298">
        <f t="shared" si="20"/>
        <v>0</v>
      </c>
      <c r="F1298">
        <v>13405.390299999999</v>
      </c>
      <c r="G1298" t="s">
        <v>12</v>
      </c>
      <c r="H1298" t="s">
        <v>11</v>
      </c>
      <c r="I1298" t="s">
        <v>10</v>
      </c>
      <c r="J1298">
        <f>_xlfn.XLOOKUP(C1298,dim_BMI!$C$2:$C$7,dim_BMI!$A$2:$A$7,,1)</f>
        <v>6</v>
      </c>
      <c r="K1298" t="str">
        <f>_xlfn.XLOOKUP(C1298,dim_BMI!$C$2:$C$7,dim_BMI!$B$2:$B$7,,1)</f>
        <v>40 or higher (Severe Obesity Class 3)</v>
      </c>
    </row>
    <row r="1299" spans="1:11" x14ac:dyDescent="0.25">
      <c r="A1299" s="1">
        <v>176</v>
      </c>
      <c r="B1299">
        <v>63</v>
      </c>
      <c r="C1299">
        <v>37.700000000000003</v>
      </c>
      <c r="D1299">
        <v>0</v>
      </c>
      <c r="E1299">
        <f t="shared" si="20"/>
        <v>1</v>
      </c>
      <c r="F1299">
        <v>48824.45</v>
      </c>
      <c r="G1299" t="s">
        <v>9</v>
      </c>
      <c r="H1299" t="s">
        <v>8</v>
      </c>
      <c r="I1299" t="s">
        <v>7</v>
      </c>
      <c r="J1299">
        <f>_xlfn.XLOOKUP(C1299,dim_BMI!$C$2:$C$7,dim_BMI!$A$2:$A$7,,1)</f>
        <v>5</v>
      </c>
      <c r="K1299" t="str">
        <f>_xlfn.XLOOKUP(C1299,dim_BMI!$C$2:$C$7,dim_BMI!$B$2:$B$7,,1)</f>
        <v>35 to 39.9 (Obesity Class 2)</v>
      </c>
    </row>
    <row r="1300" spans="1:11" x14ac:dyDescent="0.25">
      <c r="A1300" s="1">
        <v>209</v>
      </c>
      <c r="B1300">
        <v>63</v>
      </c>
      <c r="C1300">
        <v>31.8</v>
      </c>
      <c r="D1300">
        <v>0</v>
      </c>
      <c r="E1300">
        <f t="shared" si="20"/>
        <v>0</v>
      </c>
      <c r="F1300">
        <v>13880.949000000001</v>
      </c>
      <c r="G1300" t="s">
        <v>9</v>
      </c>
      <c r="H1300" t="s">
        <v>11</v>
      </c>
      <c r="I1300" t="s">
        <v>7</v>
      </c>
      <c r="J1300">
        <f>_xlfn.XLOOKUP(C1300,dim_BMI!$C$2:$C$7,dim_BMI!$A$2:$A$7,,1)</f>
        <v>4</v>
      </c>
      <c r="K1300" t="str">
        <f>_xlfn.XLOOKUP(C1300,dim_BMI!$C$2:$C$7,dim_BMI!$B$2:$B$7,,1)</f>
        <v>30.0 to 34.9 (Obesity Class 1)</v>
      </c>
    </row>
    <row r="1301" spans="1:11" x14ac:dyDescent="0.25">
      <c r="A1301" s="1">
        <v>245</v>
      </c>
      <c r="B1301">
        <v>63</v>
      </c>
      <c r="C1301">
        <v>27.74</v>
      </c>
      <c r="D1301">
        <v>0</v>
      </c>
      <c r="E1301">
        <f t="shared" si="20"/>
        <v>1</v>
      </c>
      <c r="F1301">
        <v>29523.1656</v>
      </c>
      <c r="G1301" t="s">
        <v>14</v>
      </c>
      <c r="H1301" t="s">
        <v>8</v>
      </c>
      <c r="I1301" t="s">
        <v>7</v>
      </c>
      <c r="J1301">
        <f>_xlfn.XLOOKUP(C1301,dim_BMI!$C$2:$C$7,dim_BMI!$A$2:$A$7,,1)</f>
        <v>3</v>
      </c>
      <c r="K1301" t="str">
        <f>_xlfn.XLOOKUP(C1301,dim_BMI!$C$2:$C$7,dim_BMI!$B$2:$B$7,,1)</f>
        <v>25.0 to 29.9 (Overweight)</v>
      </c>
    </row>
    <row r="1302" spans="1:11" x14ac:dyDescent="0.25">
      <c r="A1302" s="1">
        <v>252</v>
      </c>
      <c r="B1302">
        <v>63</v>
      </c>
      <c r="C1302">
        <v>32.200000000000003</v>
      </c>
      <c r="D1302">
        <v>2</v>
      </c>
      <c r="E1302">
        <f t="shared" si="20"/>
        <v>1</v>
      </c>
      <c r="F1302">
        <v>47305.305</v>
      </c>
      <c r="G1302" t="s">
        <v>9</v>
      </c>
      <c r="H1302" t="s">
        <v>8</v>
      </c>
      <c r="I1302" t="s">
        <v>7</v>
      </c>
      <c r="J1302">
        <f>_xlfn.XLOOKUP(C1302,dim_BMI!$C$2:$C$7,dim_BMI!$A$2:$A$7,,1)</f>
        <v>4</v>
      </c>
      <c r="K1302" t="str">
        <f>_xlfn.XLOOKUP(C1302,dim_BMI!$C$2:$C$7,dim_BMI!$B$2:$B$7,,1)</f>
        <v>30.0 to 34.9 (Obesity Class 1)</v>
      </c>
    </row>
    <row r="1303" spans="1:11" x14ac:dyDescent="0.25">
      <c r="A1303" s="1">
        <v>288</v>
      </c>
      <c r="B1303">
        <v>63</v>
      </c>
      <c r="C1303">
        <v>26.22</v>
      </c>
      <c r="D1303">
        <v>0</v>
      </c>
      <c r="E1303">
        <f t="shared" si="20"/>
        <v>0</v>
      </c>
      <c r="F1303">
        <v>14256.192800000001</v>
      </c>
      <c r="G1303" t="s">
        <v>13</v>
      </c>
      <c r="H1303" t="s">
        <v>11</v>
      </c>
      <c r="I1303" t="s">
        <v>7</v>
      </c>
      <c r="J1303">
        <f>_xlfn.XLOOKUP(C1303,dim_BMI!$C$2:$C$7,dim_BMI!$A$2:$A$7,,1)</f>
        <v>3</v>
      </c>
      <c r="K1303" t="str">
        <f>_xlfn.XLOOKUP(C1303,dim_BMI!$C$2:$C$7,dim_BMI!$B$2:$B$7,,1)</f>
        <v>25.0 to 29.9 (Overweight)</v>
      </c>
    </row>
    <row r="1304" spans="1:11" x14ac:dyDescent="0.25">
      <c r="A1304" s="1">
        <v>344</v>
      </c>
      <c r="B1304">
        <v>63</v>
      </c>
      <c r="C1304">
        <v>36.765000000000001</v>
      </c>
      <c r="D1304">
        <v>0</v>
      </c>
      <c r="E1304">
        <f t="shared" si="20"/>
        <v>0</v>
      </c>
      <c r="F1304">
        <v>13981.850350000001</v>
      </c>
      <c r="G1304" t="s">
        <v>14</v>
      </c>
      <c r="H1304" t="s">
        <v>11</v>
      </c>
      <c r="I1304" t="s">
        <v>10</v>
      </c>
      <c r="J1304">
        <f>_xlfn.XLOOKUP(C1304,dim_BMI!$C$2:$C$7,dim_BMI!$A$2:$A$7,,1)</f>
        <v>5</v>
      </c>
      <c r="K1304" t="str">
        <f>_xlfn.XLOOKUP(C1304,dim_BMI!$C$2:$C$7,dim_BMI!$B$2:$B$7,,1)</f>
        <v>35 to 39.9 (Obesity Class 2)</v>
      </c>
    </row>
    <row r="1305" spans="1:11" x14ac:dyDescent="0.25">
      <c r="A1305" s="1">
        <v>420</v>
      </c>
      <c r="B1305">
        <v>63</v>
      </c>
      <c r="C1305">
        <v>26.98</v>
      </c>
      <c r="D1305">
        <v>0</v>
      </c>
      <c r="E1305">
        <f t="shared" si="20"/>
        <v>1</v>
      </c>
      <c r="F1305">
        <v>28950.4692</v>
      </c>
      <c r="G1305" t="s">
        <v>13</v>
      </c>
      <c r="H1305" t="s">
        <v>8</v>
      </c>
      <c r="I1305" t="s">
        <v>7</v>
      </c>
      <c r="J1305">
        <f>_xlfn.XLOOKUP(C1305,dim_BMI!$C$2:$C$7,dim_BMI!$A$2:$A$7,,1)</f>
        <v>3</v>
      </c>
      <c r="K1305" t="str">
        <f>_xlfn.XLOOKUP(C1305,dim_BMI!$C$2:$C$7,dim_BMI!$B$2:$B$7,,1)</f>
        <v>25.0 to 29.9 (Overweight)</v>
      </c>
    </row>
    <row r="1306" spans="1:11" x14ac:dyDescent="0.25">
      <c r="A1306" s="1">
        <v>481</v>
      </c>
      <c r="B1306">
        <v>63</v>
      </c>
      <c r="C1306">
        <v>41.325000000000003</v>
      </c>
      <c r="D1306">
        <v>3</v>
      </c>
      <c r="E1306">
        <f t="shared" si="20"/>
        <v>0</v>
      </c>
      <c r="F1306">
        <v>15555.188749999999</v>
      </c>
      <c r="G1306" t="s">
        <v>13</v>
      </c>
      <c r="H1306" t="s">
        <v>11</v>
      </c>
      <c r="I1306" t="s">
        <v>10</v>
      </c>
      <c r="J1306">
        <f>_xlfn.XLOOKUP(C1306,dim_BMI!$C$2:$C$7,dim_BMI!$A$2:$A$7,,1)</f>
        <v>6</v>
      </c>
      <c r="K1306" t="str">
        <f>_xlfn.XLOOKUP(C1306,dim_BMI!$C$2:$C$7,dim_BMI!$B$2:$B$7,,1)</f>
        <v>40 or higher (Severe Obesity Class 3)</v>
      </c>
    </row>
    <row r="1307" spans="1:11" x14ac:dyDescent="0.25">
      <c r="A1307" s="1">
        <v>543</v>
      </c>
      <c r="B1307">
        <v>63</v>
      </c>
      <c r="C1307">
        <v>36.299999999999997</v>
      </c>
      <c r="D1307">
        <v>0</v>
      </c>
      <c r="E1307">
        <f t="shared" si="20"/>
        <v>0</v>
      </c>
      <c r="F1307">
        <v>13887.204</v>
      </c>
      <c r="G1307" t="s">
        <v>12</v>
      </c>
      <c r="H1307" t="s">
        <v>11</v>
      </c>
      <c r="I1307" t="s">
        <v>7</v>
      </c>
      <c r="J1307">
        <f>_xlfn.XLOOKUP(C1307,dim_BMI!$C$2:$C$7,dim_BMI!$A$2:$A$7,,1)</f>
        <v>5</v>
      </c>
      <c r="K1307" t="str">
        <f>_xlfn.XLOOKUP(C1307,dim_BMI!$C$2:$C$7,dim_BMI!$B$2:$B$7,,1)</f>
        <v>35 to 39.9 (Obesity Class 2)</v>
      </c>
    </row>
    <row r="1308" spans="1:11" x14ac:dyDescent="0.25">
      <c r="A1308" s="1">
        <v>551</v>
      </c>
      <c r="B1308">
        <v>63</v>
      </c>
      <c r="C1308">
        <v>30.8</v>
      </c>
      <c r="D1308">
        <v>0</v>
      </c>
      <c r="E1308">
        <f t="shared" si="20"/>
        <v>0</v>
      </c>
      <c r="F1308">
        <v>13390.558999999999</v>
      </c>
      <c r="G1308" t="s">
        <v>9</v>
      </c>
      <c r="H1308" t="s">
        <v>11</v>
      </c>
      <c r="I1308" t="s">
        <v>10</v>
      </c>
      <c r="J1308">
        <f>_xlfn.XLOOKUP(C1308,dim_BMI!$C$2:$C$7,dim_BMI!$A$2:$A$7,,1)</f>
        <v>4</v>
      </c>
      <c r="K1308" t="str">
        <f>_xlfn.XLOOKUP(C1308,dim_BMI!$C$2:$C$7,dim_BMI!$B$2:$B$7,,1)</f>
        <v>30.0 to 34.9 (Obesity Class 1)</v>
      </c>
    </row>
    <row r="1309" spans="1:11" x14ac:dyDescent="0.25">
      <c r="A1309" s="1">
        <v>831</v>
      </c>
      <c r="B1309">
        <v>63</v>
      </c>
      <c r="C1309">
        <v>33.1</v>
      </c>
      <c r="D1309">
        <v>0</v>
      </c>
      <c r="E1309">
        <f t="shared" si="20"/>
        <v>0</v>
      </c>
      <c r="F1309">
        <v>13393.755999999999</v>
      </c>
      <c r="G1309" t="s">
        <v>9</v>
      </c>
      <c r="H1309" t="s">
        <v>11</v>
      </c>
      <c r="I1309" t="s">
        <v>10</v>
      </c>
      <c r="J1309">
        <f>_xlfn.XLOOKUP(C1309,dim_BMI!$C$2:$C$7,dim_BMI!$A$2:$A$7,,1)</f>
        <v>4</v>
      </c>
      <c r="K1309" t="str">
        <f>_xlfn.XLOOKUP(C1309,dim_BMI!$C$2:$C$7,dim_BMI!$B$2:$B$7,,1)</f>
        <v>30.0 to 34.9 (Obesity Class 1)</v>
      </c>
    </row>
    <row r="1310" spans="1:11" x14ac:dyDescent="0.25">
      <c r="A1310" s="1">
        <v>909</v>
      </c>
      <c r="B1310">
        <v>63</v>
      </c>
      <c r="C1310">
        <v>39.799999999999997</v>
      </c>
      <c r="D1310">
        <v>3</v>
      </c>
      <c r="E1310">
        <f t="shared" si="20"/>
        <v>0</v>
      </c>
      <c r="F1310">
        <v>15170.069</v>
      </c>
      <c r="G1310" t="s">
        <v>9</v>
      </c>
      <c r="H1310" t="s">
        <v>11</v>
      </c>
      <c r="I1310" t="s">
        <v>10</v>
      </c>
      <c r="J1310">
        <f>_xlfn.XLOOKUP(C1310,dim_BMI!$C$2:$C$7,dim_BMI!$A$2:$A$7,,1)</f>
        <v>5</v>
      </c>
      <c r="K1310" t="str">
        <f>_xlfn.XLOOKUP(C1310,dim_BMI!$C$2:$C$7,dim_BMI!$B$2:$B$7,,1)</f>
        <v>35 to 39.9 (Obesity Class 2)</v>
      </c>
    </row>
    <row r="1311" spans="1:11" x14ac:dyDescent="0.25">
      <c r="A1311" s="1">
        <v>963</v>
      </c>
      <c r="B1311">
        <v>63</v>
      </c>
      <c r="C1311">
        <v>35.200000000000003</v>
      </c>
      <c r="D1311">
        <v>1</v>
      </c>
      <c r="E1311">
        <f t="shared" si="20"/>
        <v>0</v>
      </c>
      <c r="F1311">
        <v>14474.674999999999</v>
      </c>
      <c r="G1311" t="s">
        <v>12</v>
      </c>
      <c r="H1311" t="s">
        <v>11</v>
      </c>
      <c r="I1311" t="s">
        <v>7</v>
      </c>
      <c r="J1311">
        <f>_xlfn.XLOOKUP(C1311,dim_BMI!$C$2:$C$7,dim_BMI!$A$2:$A$7,,1)</f>
        <v>5</v>
      </c>
      <c r="K1311" t="str">
        <f>_xlfn.XLOOKUP(C1311,dim_BMI!$C$2:$C$7,dim_BMI!$B$2:$B$7,,1)</f>
        <v>35 to 39.9 (Obesity Class 2)</v>
      </c>
    </row>
    <row r="1312" spans="1:11" x14ac:dyDescent="0.25">
      <c r="A1312" s="1">
        <v>998</v>
      </c>
      <c r="B1312">
        <v>63</v>
      </c>
      <c r="C1312">
        <v>36.85</v>
      </c>
      <c r="D1312">
        <v>0</v>
      </c>
      <c r="E1312">
        <f t="shared" si="20"/>
        <v>0</v>
      </c>
      <c r="F1312">
        <v>13887.968500000001</v>
      </c>
      <c r="G1312" t="s">
        <v>12</v>
      </c>
      <c r="H1312" t="s">
        <v>11</v>
      </c>
      <c r="I1312" t="s">
        <v>7</v>
      </c>
      <c r="J1312">
        <f>_xlfn.XLOOKUP(C1312,dim_BMI!$C$2:$C$7,dim_BMI!$A$2:$A$7,,1)</f>
        <v>5</v>
      </c>
      <c r="K1312" t="str">
        <f>_xlfn.XLOOKUP(C1312,dim_BMI!$C$2:$C$7,dim_BMI!$B$2:$B$7,,1)</f>
        <v>35 to 39.9 (Obesity Class 2)</v>
      </c>
    </row>
    <row r="1313" spans="1:11" x14ac:dyDescent="0.25">
      <c r="A1313" s="1">
        <v>1069</v>
      </c>
      <c r="B1313">
        <v>63</v>
      </c>
      <c r="C1313">
        <v>21.66</v>
      </c>
      <c r="D1313">
        <v>1</v>
      </c>
      <c r="E1313">
        <f t="shared" si="20"/>
        <v>0</v>
      </c>
      <c r="F1313">
        <v>14349.8544</v>
      </c>
      <c r="G1313" t="s">
        <v>13</v>
      </c>
      <c r="H1313" t="s">
        <v>11</v>
      </c>
      <c r="I1313" t="s">
        <v>10</v>
      </c>
      <c r="J1313">
        <f>_xlfn.XLOOKUP(C1313,dim_BMI!$C$2:$C$7,dim_BMI!$A$2:$A$7,,1)</f>
        <v>2</v>
      </c>
      <c r="K1313" t="str">
        <f>_xlfn.XLOOKUP(C1313,dim_BMI!$C$2:$C$7,dim_BMI!$B$2:$B$7,,1)</f>
        <v>18.5 to 24.9 (Healthy Weight)</v>
      </c>
    </row>
    <row r="1314" spans="1:11" x14ac:dyDescent="0.25">
      <c r="A1314" s="1">
        <v>1072</v>
      </c>
      <c r="B1314">
        <v>63</v>
      </c>
      <c r="C1314">
        <v>31.445</v>
      </c>
      <c r="D1314">
        <v>0</v>
      </c>
      <c r="E1314">
        <f t="shared" si="20"/>
        <v>0</v>
      </c>
      <c r="F1314">
        <v>13974.455550000001</v>
      </c>
      <c r="G1314" t="s">
        <v>14</v>
      </c>
      <c r="H1314" t="s">
        <v>11</v>
      </c>
      <c r="I1314" t="s">
        <v>10</v>
      </c>
      <c r="J1314">
        <f>_xlfn.XLOOKUP(C1314,dim_BMI!$C$2:$C$7,dim_BMI!$A$2:$A$7,,1)</f>
        <v>4</v>
      </c>
      <c r="K1314" t="str">
        <f>_xlfn.XLOOKUP(C1314,dim_BMI!$C$2:$C$7,dim_BMI!$B$2:$B$7,,1)</f>
        <v>30.0 to 34.9 (Obesity Class 1)</v>
      </c>
    </row>
    <row r="1315" spans="1:11" x14ac:dyDescent="0.25">
      <c r="A1315" s="1">
        <v>1080</v>
      </c>
      <c r="B1315">
        <v>63</v>
      </c>
      <c r="C1315">
        <v>33.659999999999997</v>
      </c>
      <c r="D1315">
        <v>3</v>
      </c>
      <c r="E1315">
        <f t="shared" si="20"/>
        <v>0</v>
      </c>
      <c r="F1315">
        <v>15161.5344</v>
      </c>
      <c r="G1315" t="s">
        <v>12</v>
      </c>
      <c r="H1315" t="s">
        <v>11</v>
      </c>
      <c r="I1315" t="s">
        <v>10</v>
      </c>
      <c r="J1315">
        <f>_xlfn.XLOOKUP(C1315,dim_BMI!$C$2:$C$7,dim_BMI!$A$2:$A$7,,1)</f>
        <v>4</v>
      </c>
      <c r="K1315" t="str">
        <f>_xlfn.XLOOKUP(C1315,dim_BMI!$C$2:$C$7,dim_BMI!$B$2:$B$7,,1)</f>
        <v>30.0 to 34.9 (Obesity Class 1)</v>
      </c>
    </row>
    <row r="1316" spans="1:11" x14ac:dyDescent="0.25">
      <c r="A1316" s="1">
        <v>1126</v>
      </c>
      <c r="B1316">
        <v>63</v>
      </c>
      <c r="C1316">
        <v>25.08</v>
      </c>
      <c r="D1316">
        <v>0</v>
      </c>
      <c r="E1316">
        <f t="shared" si="20"/>
        <v>0</v>
      </c>
      <c r="F1316">
        <v>14254.608200000001</v>
      </c>
      <c r="G1316" t="s">
        <v>13</v>
      </c>
      <c r="H1316" t="s">
        <v>11</v>
      </c>
      <c r="I1316" t="s">
        <v>7</v>
      </c>
      <c r="J1316">
        <f>_xlfn.XLOOKUP(C1316,dim_BMI!$C$2:$C$7,dim_BMI!$A$2:$A$7,,1)</f>
        <v>3</v>
      </c>
      <c r="K1316" t="str">
        <f>_xlfn.XLOOKUP(C1316,dim_BMI!$C$2:$C$7,dim_BMI!$B$2:$B$7,,1)</f>
        <v>25.0 to 29.9 (Overweight)</v>
      </c>
    </row>
    <row r="1317" spans="1:11" x14ac:dyDescent="0.25">
      <c r="A1317" s="1">
        <v>1237</v>
      </c>
      <c r="B1317">
        <v>63</v>
      </c>
      <c r="C1317">
        <v>21.66</v>
      </c>
      <c r="D1317">
        <v>0</v>
      </c>
      <c r="E1317">
        <f t="shared" si="20"/>
        <v>0</v>
      </c>
      <c r="F1317">
        <v>14449.8544</v>
      </c>
      <c r="G1317" t="s">
        <v>14</v>
      </c>
      <c r="H1317" t="s">
        <v>11</v>
      </c>
      <c r="I1317" t="s">
        <v>7</v>
      </c>
      <c r="J1317">
        <f>_xlfn.XLOOKUP(C1317,dim_BMI!$C$2:$C$7,dim_BMI!$A$2:$A$7,,1)</f>
        <v>2</v>
      </c>
      <c r="K1317" t="str">
        <f>_xlfn.XLOOKUP(C1317,dim_BMI!$C$2:$C$7,dim_BMI!$B$2:$B$7,,1)</f>
        <v>18.5 to 24.9 (Healthy Weight)</v>
      </c>
    </row>
    <row r="1318" spans="1:11" x14ac:dyDescent="0.25">
      <c r="A1318" s="1">
        <v>63</v>
      </c>
      <c r="B1318">
        <v>64</v>
      </c>
      <c r="C1318">
        <v>24.7</v>
      </c>
      <c r="D1318">
        <v>1</v>
      </c>
      <c r="E1318">
        <f t="shared" si="20"/>
        <v>0</v>
      </c>
      <c r="F1318">
        <v>30166.618170000002</v>
      </c>
      <c r="G1318" t="s">
        <v>13</v>
      </c>
      <c r="H1318" t="s">
        <v>11</v>
      </c>
      <c r="I1318" t="s">
        <v>10</v>
      </c>
      <c r="J1318">
        <f>_xlfn.XLOOKUP(C1318,dim_BMI!$C$2:$C$7,dim_BMI!$A$2:$A$7,,1)</f>
        <v>2</v>
      </c>
      <c r="K1318" t="str">
        <f>_xlfn.XLOOKUP(C1318,dim_BMI!$C$2:$C$7,dim_BMI!$B$2:$B$7,,1)</f>
        <v>18.5 to 24.9 (Healthy Weight)</v>
      </c>
    </row>
    <row r="1319" spans="1:11" x14ac:dyDescent="0.25">
      <c r="A1319" s="1">
        <v>95</v>
      </c>
      <c r="B1319">
        <v>64</v>
      </c>
      <c r="C1319">
        <v>31.3</v>
      </c>
      <c r="D1319">
        <v>2</v>
      </c>
      <c r="E1319">
        <f t="shared" si="20"/>
        <v>1</v>
      </c>
      <c r="F1319">
        <v>47291.055</v>
      </c>
      <c r="G1319" t="s">
        <v>9</v>
      </c>
      <c r="H1319" t="s">
        <v>8</v>
      </c>
      <c r="I1319" t="s">
        <v>7</v>
      </c>
      <c r="J1319">
        <f>_xlfn.XLOOKUP(C1319,dim_BMI!$C$2:$C$7,dim_BMI!$A$2:$A$7,,1)</f>
        <v>4</v>
      </c>
      <c r="K1319" t="str">
        <f>_xlfn.XLOOKUP(C1319,dim_BMI!$C$2:$C$7,dim_BMI!$B$2:$B$7,,1)</f>
        <v>30.0 to 34.9 (Obesity Class 1)</v>
      </c>
    </row>
    <row r="1320" spans="1:11" x14ac:dyDescent="0.25">
      <c r="A1320" s="1">
        <v>200</v>
      </c>
      <c r="B1320">
        <v>64</v>
      </c>
      <c r="C1320">
        <v>39.33</v>
      </c>
      <c r="D1320">
        <v>0</v>
      </c>
      <c r="E1320">
        <f t="shared" si="20"/>
        <v>0</v>
      </c>
      <c r="F1320">
        <v>14901.5167</v>
      </c>
      <c r="G1320" t="s">
        <v>14</v>
      </c>
      <c r="H1320" t="s">
        <v>11</v>
      </c>
      <c r="I1320" t="s">
        <v>7</v>
      </c>
      <c r="J1320">
        <f>_xlfn.XLOOKUP(C1320,dim_BMI!$C$2:$C$7,dim_BMI!$A$2:$A$7,,1)</f>
        <v>5</v>
      </c>
      <c r="K1320" t="str">
        <f>_xlfn.XLOOKUP(C1320,dim_BMI!$C$2:$C$7,dim_BMI!$B$2:$B$7,,1)</f>
        <v>35 to 39.9 (Obesity Class 2)</v>
      </c>
    </row>
    <row r="1321" spans="1:11" x14ac:dyDescent="0.25">
      <c r="A1321" s="1">
        <v>329</v>
      </c>
      <c r="B1321">
        <v>64</v>
      </c>
      <c r="C1321">
        <v>33.799999999999997</v>
      </c>
      <c r="D1321">
        <v>1</v>
      </c>
      <c r="E1321">
        <f t="shared" si="20"/>
        <v>1</v>
      </c>
      <c r="F1321">
        <v>47928.03</v>
      </c>
      <c r="G1321" t="s">
        <v>9</v>
      </c>
      <c r="H1321" t="s">
        <v>8</v>
      </c>
      <c r="I1321" t="s">
        <v>7</v>
      </c>
      <c r="J1321">
        <f>_xlfn.XLOOKUP(C1321,dim_BMI!$C$2:$C$7,dim_BMI!$A$2:$A$7,,1)</f>
        <v>4</v>
      </c>
      <c r="K1321" t="str">
        <f>_xlfn.XLOOKUP(C1321,dim_BMI!$C$2:$C$7,dim_BMI!$B$2:$B$7,,1)</f>
        <v>30.0 to 34.9 (Obesity Class 1)</v>
      </c>
    </row>
    <row r="1322" spans="1:11" x14ac:dyDescent="0.25">
      <c r="A1322" s="1">
        <v>336</v>
      </c>
      <c r="B1322">
        <v>64</v>
      </c>
      <c r="C1322">
        <v>34.5</v>
      </c>
      <c r="D1322">
        <v>0</v>
      </c>
      <c r="E1322">
        <f t="shared" si="20"/>
        <v>0</v>
      </c>
      <c r="F1322">
        <v>13822.803</v>
      </c>
      <c r="G1322" t="s">
        <v>9</v>
      </c>
      <c r="H1322" t="s">
        <v>11</v>
      </c>
      <c r="I1322" t="s">
        <v>10</v>
      </c>
      <c r="J1322">
        <f>_xlfn.XLOOKUP(C1322,dim_BMI!$C$2:$C$7,dim_BMI!$A$2:$A$7,,1)</f>
        <v>4</v>
      </c>
      <c r="K1322" t="str">
        <f>_xlfn.XLOOKUP(C1322,dim_BMI!$C$2:$C$7,dim_BMI!$B$2:$B$7,,1)</f>
        <v>30.0 to 34.9 (Obesity Class 1)</v>
      </c>
    </row>
    <row r="1323" spans="1:11" x14ac:dyDescent="0.25">
      <c r="A1323" s="1">
        <v>379</v>
      </c>
      <c r="B1323">
        <v>64</v>
      </c>
      <c r="C1323">
        <v>30.114999999999998</v>
      </c>
      <c r="D1323">
        <v>3</v>
      </c>
      <c r="E1323">
        <f t="shared" si="20"/>
        <v>0</v>
      </c>
      <c r="F1323">
        <v>16455.707849999999</v>
      </c>
      <c r="G1323" t="s">
        <v>13</v>
      </c>
      <c r="H1323" t="s">
        <v>11</v>
      </c>
      <c r="I1323" t="s">
        <v>7</v>
      </c>
      <c r="J1323">
        <f>_xlfn.XLOOKUP(C1323,dim_BMI!$C$2:$C$7,dim_BMI!$A$2:$A$7,,1)</f>
        <v>4</v>
      </c>
      <c r="K1323" t="str">
        <f>_xlfn.XLOOKUP(C1323,dim_BMI!$C$2:$C$7,dim_BMI!$B$2:$B$7,,1)</f>
        <v>30.0 to 34.9 (Obesity Class 1)</v>
      </c>
    </row>
    <row r="1324" spans="1:11" x14ac:dyDescent="0.25">
      <c r="A1324" s="1">
        <v>399</v>
      </c>
      <c r="B1324">
        <v>64</v>
      </c>
      <c r="C1324">
        <v>25.6</v>
      </c>
      <c r="D1324">
        <v>2</v>
      </c>
      <c r="E1324">
        <f t="shared" si="20"/>
        <v>0</v>
      </c>
      <c r="F1324">
        <v>14988.432000000001</v>
      </c>
      <c r="G1324" t="s">
        <v>9</v>
      </c>
      <c r="H1324" t="s">
        <v>11</v>
      </c>
      <c r="I1324" t="s">
        <v>10</v>
      </c>
      <c r="J1324">
        <f>_xlfn.XLOOKUP(C1324,dim_BMI!$C$2:$C$7,dim_BMI!$A$2:$A$7,,1)</f>
        <v>3</v>
      </c>
      <c r="K1324" t="str">
        <f>_xlfn.XLOOKUP(C1324,dim_BMI!$C$2:$C$7,dim_BMI!$B$2:$B$7,,1)</f>
        <v>25.0 to 29.9 (Overweight)</v>
      </c>
    </row>
    <row r="1325" spans="1:11" x14ac:dyDescent="0.25">
      <c r="A1325" s="1">
        <v>403</v>
      </c>
      <c r="B1325">
        <v>64</v>
      </c>
      <c r="C1325">
        <v>32.965000000000003</v>
      </c>
      <c r="D1325">
        <v>0</v>
      </c>
      <c r="E1325">
        <f t="shared" si="20"/>
        <v>0</v>
      </c>
      <c r="F1325">
        <v>14692.66935</v>
      </c>
      <c r="G1325" t="s">
        <v>13</v>
      </c>
      <c r="H1325" t="s">
        <v>11</v>
      </c>
      <c r="I1325" t="s">
        <v>7</v>
      </c>
      <c r="J1325">
        <f>_xlfn.XLOOKUP(C1325,dim_BMI!$C$2:$C$7,dim_BMI!$A$2:$A$7,,1)</f>
        <v>4</v>
      </c>
      <c r="K1325" t="str">
        <f>_xlfn.XLOOKUP(C1325,dim_BMI!$C$2:$C$7,dim_BMI!$B$2:$B$7,,1)</f>
        <v>30.0 to 34.9 (Obesity Class 1)</v>
      </c>
    </row>
    <row r="1326" spans="1:11" x14ac:dyDescent="0.25">
      <c r="A1326" s="1">
        <v>419</v>
      </c>
      <c r="B1326">
        <v>64</v>
      </c>
      <c r="C1326">
        <v>39.159999999999997</v>
      </c>
      <c r="D1326">
        <v>1</v>
      </c>
      <c r="E1326">
        <f t="shared" si="20"/>
        <v>0</v>
      </c>
      <c r="F1326">
        <v>14418.2804</v>
      </c>
      <c r="G1326" t="s">
        <v>12</v>
      </c>
      <c r="H1326" t="s">
        <v>11</v>
      </c>
      <c r="I1326" t="s">
        <v>10</v>
      </c>
      <c r="J1326">
        <f>_xlfn.XLOOKUP(C1326,dim_BMI!$C$2:$C$7,dim_BMI!$A$2:$A$7,,1)</f>
        <v>5</v>
      </c>
      <c r="K1326" t="str">
        <f>_xlfn.XLOOKUP(C1326,dim_BMI!$C$2:$C$7,dim_BMI!$B$2:$B$7,,1)</f>
        <v>35 to 39.9 (Obesity Class 2)</v>
      </c>
    </row>
    <row r="1327" spans="1:11" x14ac:dyDescent="0.25">
      <c r="A1327" s="1">
        <v>421</v>
      </c>
      <c r="B1327">
        <v>64</v>
      </c>
      <c r="C1327">
        <v>33.880000000000003</v>
      </c>
      <c r="D1327">
        <v>0</v>
      </c>
      <c r="E1327">
        <f t="shared" si="20"/>
        <v>1</v>
      </c>
      <c r="F1327">
        <v>46889.261200000001</v>
      </c>
      <c r="G1327" t="s">
        <v>12</v>
      </c>
      <c r="H1327" t="s">
        <v>8</v>
      </c>
      <c r="I1327" t="s">
        <v>10</v>
      </c>
      <c r="J1327">
        <f>_xlfn.XLOOKUP(C1327,dim_BMI!$C$2:$C$7,dim_BMI!$A$2:$A$7,,1)</f>
        <v>4</v>
      </c>
      <c r="K1327" t="str">
        <f>_xlfn.XLOOKUP(C1327,dim_BMI!$C$2:$C$7,dim_BMI!$B$2:$B$7,,1)</f>
        <v>30.0 to 34.9 (Obesity Class 1)</v>
      </c>
    </row>
    <row r="1328" spans="1:11" x14ac:dyDescent="0.25">
      <c r="A1328" s="1">
        <v>535</v>
      </c>
      <c r="B1328">
        <v>64</v>
      </c>
      <c r="C1328">
        <v>40.479999999999997</v>
      </c>
      <c r="D1328">
        <v>0</v>
      </c>
      <c r="E1328">
        <f t="shared" si="20"/>
        <v>0</v>
      </c>
      <c r="F1328">
        <v>13831.1152</v>
      </c>
      <c r="G1328" t="s">
        <v>12</v>
      </c>
      <c r="H1328" t="s">
        <v>11</v>
      </c>
      <c r="I1328" t="s">
        <v>10</v>
      </c>
      <c r="J1328">
        <f>_xlfn.XLOOKUP(C1328,dim_BMI!$C$2:$C$7,dim_BMI!$A$2:$A$7,,1)</f>
        <v>6</v>
      </c>
      <c r="K1328" t="str">
        <f>_xlfn.XLOOKUP(C1328,dim_BMI!$C$2:$C$7,dim_BMI!$B$2:$B$7,,1)</f>
        <v>40 or higher (Severe Obesity Class 3)</v>
      </c>
    </row>
    <row r="1329" spans="1:11" x14ac:dyDescent="0.25">
      <c r="A1329" s="1">
        <v>604</v>
      </c>
      <c r="B1329">
        <v>64</v>
      </c>
      <c r="C1329">
        <v>39.049999999999997</v>
      </c>
      <c r="D1329">
        <v>3</v>
      </c>
      <c r="E1329">
        <f t="shared" si="20"/>
        <v>0</v>
      </c>
      <c r="F1329">
        <v>16085.127500000001</v>
      </c>
      <c r="G1329" t="s">
        <v>12</v>
      </c>
      <c r="H1329" t="s">
        <v>11</v>
      </c>
      <c r="I1329" t="s">
        <v>7</v>
      </c>
      <c r="J1329">
        <f>_xlfn.XLOOKUP(C1329,dim_BMI!$C$2:$C$7,dim_BMI!$A$2:$A$7,,1)</f>
        <v>5</v>
      </c>
      <c r="K1329" t="str">
        <f>_xlfn.XLOOKUP(C1329,dim_BMI!$C$2:$C$7,dim_BMI!$B$2:$B$7,,1)</f>
        <v>35 to 39.9 (Obesity Class 2)</v>
      </c>
    </row>
    <row r="1330" spans="1:11" x14ac:dyDescent="0.25">
      <c r="A1330" s="1">
        <v>636</v>
      </c>
      <c r="B1330">
        <v>64</v>
      </c>
      <c r="C1330">
        <v>38.19</v>
      </c>
      <c r="D1330">
        <v>0</v>
      </c>
      <c r="E1330">
        <f t="shared" si="20"/>
        <v>0</v>
      </c>
      <c r="F1330">
        <v>14410.9321</v>
      </c>
      <c r="G1330" t="s">
        <v>14</v>
      </c>
      <c r="H1330" t="s">
        <v>11</v>
      </c>
      <c r="I1330" t="s">
        <v>10</v>
      </c>
      <c r="J1330">
        <f>_xlfn.XLOOKUP(C1330,dim_BMI!$C$2:$C$7,dim_BMI!$A$2:$A$7,,1)</f>
        <v>5</v>
      </c>
      <c r="K1330" t="str">
        <f>_xlfn.XLOOKUP(C1330,dim_BMI!$C$2:$C$7,dim_BMI!$B$2:$B$7,,1)</f>
        <v>35 to 39.9 (Obesity Class 2)</v>
      </c>
    </row>
    <row r="1331" spans="1:11" x14ac:dyDescent="0.25">
      <c r="A1331" s="1">
        <v>665</v>
      </c>
      <c r="B1331">
        <v>64</v>
      </c>
      <c r="C1331">
        <v>22.99</v>
      </c>
      <c r="D1331">
        <v>0</v>
      </c>
      <c r="E1331">
        <f t="shared" si="20"/>
        <v>1</v>
      </c>
      <c r="F1331">
        <v>27037.914100000002</v>
      </c>
      <c r="G1331" t="s">
        <v>12</v>
      </c>
      <c r="H1331" t="s">
        <v>8</v>
      </c>
      <c r="I1331" t="s">
        <v>7</v>
      </c>
      <c r="J1331">
        <f>_xlfn.XLOOKUP(C1331,dim_BMI!$C$2:$C$7,dim_BMI!$A$2:$A$7,,1)</f>
        <v>2</v>
      </c>
      <c r="K1331" t="str">
        <f>_xlfn.XLOOKUP(C1331,dim_BMI!$C$2:$C$7,dim_BMI!$B$2:$B$7,,1)</f>
        <v>18.5 to 24.9 (Healthy Weight)</v>
      </c>
    </row>
    <row r="1332" spans="1:11" x14ac:dyDescent="0.25">
      <c r="A1332" s="1">
        <v>753</v>
      </c>
      <c r="B1332">
        <v>64</v>
      </c>
      <c r="C1332">
        <v>37.905000000000001</v>
      </c>
      <c r="D1332">
        <v>0</v>
      </c>
      <c r="E1332">
        <f t="shared" si="20"/>
        <v>0</v>
      </c>
      <c r="F1332">
        <v>14210.53595</v>
      </c>
      <c r="G1332" t="s">
        <v>13</v>
      </c>
      <c r="H1332" t="s">
        <v>11</v>
      </c>
      <c r="I1332" t="s">
        <v>10</v>
      </c>
      <c r="J1332">
        <f>_xlfn.XLOOKUP(C1332,dim_BMI!$C$2:$C$7,dim_BMI!$A$2:$A$7,,1)</f>
        <v>5</v>
      </c>
      <c r="K1332" t="str">
        <f>_xlfn.XLOOKUP(C1332,dim_BMI!$C$2:$C$7,dim_BMI!$B$2:$B$7,,1)</f>
        <v>35 to 39.9 (Obesity Class 2)</v>
      </c>
    </row>
    <row r="1333" spans="1:11" x14ac:dyDescent="0.25">
      <c r="A1333" s="1">
        <v>769</v>
      </c>
      <c r="B1333">
        <v>64</v>
      </c>
      <c r="C1333">
        <v>39.700000000000003</v>
      </c>
      <c r="D1333">
        <v>0</v>
      </c>
      <c r="E1333">
        <f t="shared" si="20"/>
        <v>0</v>
      </c>
      <c r="F1333">
        <v>14319.031000000001</v>
      </c>
      <c r="G1333" t="s">
        <v>9</v>
      </c>
      <c r="H1333" t="s">
        <v>11</v>
      </c>
      <c r="I1333" t="s">
        <v>7</v>
      </c>
      <c r="J1333">
        <f>_xlfn.XLOOKUP(C1333,dim_BMI!$C$2:$C$7,dim_BMI!$A$2:$A$7,,1)</f>
        <v>5</v>
      </c>
      <c r="K1333" t="str">
        <f>_xlfn.XLOOKUP(C1333,dim_BMI!$C$2:$C$7,dim_BMI!$B$2:$B$7,,1)</f>
        <v>35 to 39.9 (Obesity Class 2)</v>
      </c>
    </row>
    <row r="1334" spans="1:11" x14ac:dyDescent="0.25">
      <c r="A1334" s="1">
        <v>802</v>
      </c>
      <c r="B1334">
        <v>64</v>
      </c>
      <c r="C1334">
        <v>35.97</v>
      </c>
      <c r="D1334">
        <v>0</v>
      </c>
      <c r="E1334">
        <f t="shared" si="20"/>
        <v>0</v>
      </c>
      <c r="F1334">
        <v>14313.846299999999</v>
      </c>
      <c r="G1334" t="s">
        <v>12</v>
      </c>
      <c r="H1334" t="s">
        <v>11</v>
      </c>
      <c r="I1334" t="s">
        <v>7</v>
      </c>
      <c r="J1334">
        <f>_xlfn.XLOOKUP(C1334,dim_BMI!$C$2:$C$7,dim_BMI!$A$2:$A$7,,1)</f>
        <v>5</v>
      </c>
      <c r="K1334" t="str">
        <f>_xlfn.XLOOKUP(C1334,dim_BMI!$C$2:$C$7,dim_BMI!$B$2:$B$7,,1)</f>
        <v>35 to 39.9 (Obesity Class 2)</v>
      </c>
    </row>
    <row r="1335" spans="1:11" x14ac:dyDescent="0.25">
      <c r="A1335" s="1">
        <v>826</v>
      </c>
      <c r="B1335">
        <v>64</v>
      </c>
      <c r="C1335">
        <v>31.824999999999999</v>
      </c>
      <c r="D1335">
        <v>2</v>
      </c>
      <c r="E1335">
        <f t="shared" si="20"/>
        <v>0</v>
      </c>
      <c r="F1335">
        <v>16069.08475</v>
      </c>
      <c r="G1335" t="s">
        <v>14</v>
      </c>
      <c r="H1335" t="s">
        <v>11</v>
      </c>
      <c r="I1335" t="s">
        <v>7</v>
      </c>
      <c r="J1335">
        <f>_xlfn.XLOOKUP(C1335,dim_BMI!$C$2:$C$7,dim_BMI!$A$2:$A$7,,1)</f>
        <v>4</v>
      </c>
      <c r="K1335" t="str">
        <f>_xlfn.XLOOKUP(C1335,dim_BMI!$C$2:$C$7,dim_BMI!$B$2:$B$7,,1)</f>
        <v>30.0 to 34.9 (Obesity Class 1)</v>
      </c>
    </row>
    <row r="1336" spans="1:11" x14ac:dyDescent="0.25">
      <c r="A1336" s="1">
        <v>891</v>
      </c>
      <c r="B1336">
        <v>64</v>
      </c>
      <c r="C1336">
        <v>26.885000000000002</v>
      </c>
      <c r="D1336">
        <v>0</v>
      </c>
      <c r="E1336">
        <f t="shared" si="20"/>
        <v>1</v>
      </c>
      <c r="F1336">
        <v>29330.98315</v>
      </c>
      <c r="G1336" t="s">
        <v>13</v>
      </c>
      <c r="H1336" t="s">
        <v>8</v>
      </c>
      <c r="I1336" t="s">
        <v>7</v>
      </c>
      <c r="J1336">
        <f>_xlfn.XLOOKUP(C1336,dim_BMI!$C$2:$C$7,dim_BMI!$A$2:$A$7,,1)</f>
        <v>3</v>
      </c>
      <c r="K1336" t="str">
        <f>_xlfn.XLOOKUP(C1336,dim_BMI!$C$2:$C$7,dim_BMI!$B$2:$B$7,,1)</f>
        <v>25.0 to 29.9 (Overweight)</v>
      </c>
    </row>
    <row r="1337" spans="1:11" x14ac:dyDescent="0.25">
      <c r="A1337" s="1">
        <v>1052</v>
      </c>
      <c r="B1337">
        <v>64</v>
      </c>
      <c r="C1337">
        <v>26.41</v>
      </c>
      <c r="D1337">
        <v>0</v>
      </c>
      <c r="E1337">
        <f t="shared" si="20"/>
        <v>0</v>
      </c>
      <c r="F1337">
        <v>14394.5579</v>
      </c>
      <c r="G1337" t="s">
        <v>14</v>
      </c>
      <c r="H1337" t="s">
        <v>11</v>
      </c>
      <c r="I1337" t="s">
        <v>10</v>
      </c>
      <c r="J1337">
        <f>_xlfn.XLOOKUP(C1337,dim_BMI!$C$2:$C$7,dim_BMI!$A$2:$A$7,,1)</f>
        <v>3</v>
      </c>
      <c r="K1337" t="str">
        <f>_xlfn.XLOOKUP(C1337,dim_BMI!$C$2:$C$7,dim_BMI!$B$2:$B$7,,1)</f>
        <v>25.0 to 29.9 (Overweight)</v>
      </c>
    </row>
    <row r="1338" spans="1:11" x14ac:dyDescent="0.25">
      <c r="A1338" s="1">
        <v>1242</v>
      </c>
      <c r="B1338">
        <v>64</v>
      </c>
      <c r="C1338">
        <v>36.96</v>
      </c>
      <c r="D1338">
        <v>2</v>
      </c>
      <c r="E1338">
        <f t="shared" si="20"/>
        <v>1</v>
      </c>
      <c r="F1338">
        <v>49577.662400000001</v>
      </c>
      <c r="G1338" t="s">
        <v>12</v>
      </c>
      <c r="H1338" t="s">
        <v>8</v>
      </c>
      <c r="I1338" t="s">
        <v>10</v>
      </c>
      <c r="J1338">
        <f>_xlfn.XLOOKUP(C1338,dim_BMI!$C$2:$C$7,dim_BMI!$A$2:$A$7,,1)</f>
        <v>5</v>
      </c>
      <c r="K1338" t="str">
        <f>_xlfn.XLOOKUP(C1338,dim_BMI!$C$2:$C$7,dim_BMI!$B$2:$B$7,,1)</f>
        <v>35 to 39.9 (Obesity Class 2)</v>
      </c>
    </row>
    <row r="1339" spans="1:11" x14ac:dyDescent="0.25">
      <c r="A1339" s="1">
        <v>1266</v>
      </c>
      <c r="B1339">
        <v>64</v>
      </c>
      <c r="C1339">
        <v>23.76</v>
      </c>
      <c r="D1339">
        <v>0</v>
      </c>
      <c r="E1339">
        <f t="shared" si="20"/>
        <v>1</v>
      </c>
      <c r="F1339">
        <v>26926.5144</v>
      </c>
      <c r="G1339" t="s">
        <v>12</v>
      </c>
      <c r="H1339" t="s">
        <v>8</v>
      </c>
      <c r="I1339" t="s">
        <v>10</v>
      </c>
      <c r="J1339">
        <f>_xlfn.XLOOKUP(C1339,dim_BMI!$C$2:$C$7,dim_BMI!$A$2:$A$7,,1)</f>
        <v>2</v>
      </c>
      <c r="K1339" t="str">
        <f>_xlfn.XLOOKUP(C1339,dim_BMI!$C$2:$C$7,dim_BMI!$B$2:$B$7,,1)</f>
        <v>18.5 to 24.9 (Healthy Weight)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Regression</vt:lpstr>
      <vt:lpstr>Pivot Summary</vt:lpstr>
      <vt:lpstr>Correlation</vt:lpstr>
      <vt:lpstr>dim_BMI</vt:lpstr>
      <vt:lpstr>Sheet8</vt:lpstr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Claire Ashlyn</cp:lastModifiedBy>
  <dcterms:created xsi:type="dcterms:W3CDTF">2026-10-04T20:10:00Z</dcterms:created>
  <dcterms:modified xsi:type="dcterms:W3CDTF">2026-10-06T22:44:29Z</dcterms:modified>
</cp:coreProperties>
</file>